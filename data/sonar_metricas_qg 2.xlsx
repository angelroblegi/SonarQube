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AROBLEDO\Documents\Tuning Sonarqube\"/>
    </mc:Choice>
  </mc:AlternateContent>
  <xr:revisionPtr revIDLastSave="0" documentId="8_{AFAF4EC7-B593-4A1E-821F-C038CDAC6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as QG" sheetId="1" r:id="rId1"/>
    <sheet name="Hoja1" sheetId="2" r:id="rId2"/>
  </sheets>
  <definedNames>
    <definedName name="_xlnm._FilterDatabase" localSheetId="0" hidden="1">'Metricas QG'!$A$1:$L$430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104" i="1"/>
  <c r="H317" i="1"/>
  <c r="H202" i="1"/>
  <c r="H101" i="1"/>
  <c r="H114" i="1"/>
  <c r="H115" i="1"/>
  <c r="H229" i="1"/>
  <c r="H218" i="1"/>
  <c r="H106" i="1"/>
  <c r="H200" i="1"/>
  <c r="H108" i="1"/>
  <c r="H109" i="1"/>
  <c r="H110" i="1"/>
  <c r="H111" i="1"/>
  <c r="H112" i="1"/>
  <c r="H113" i="1"/>
  <c r="H126" i="1"/>
  <c r="H118" i="1"/>
  <c r="H116" i="1"/>
  <c r="H117" i="1"/>
  <c r="H249" i="1"/>
  <c r="H258" i="1"/>
  <c r="H120" i="1"/>
  <c r="H119" i="1"/>
  <c r="H122" i="1"/>
  <c r="H264" i="1"/>
  <c r="H124" i="1"/>
  <c r="H125" i="1"/>
  <c r="H134" i="1"/>
  <c r="H400" i="1"/>
  <c r="H395" i="1"/>
  <c r="H129" i="1"/>
  <c r="H219" i="1"/>
  <c r="H180" i="1"/>
  <c r="H132" i="1"/>
  <c r="H233" i="1"/>
  <c r="H358" i="1"/>
  <c r="H136" i="1"/>
  <c r="H100" i="1"/>
  <c r="H142" i="1"/>
  <c r="H146" i="1"/>
  <c r="H217" i="1"/>
  <c r="H260" i="1"/>
  <c r="H141" i="1"/>
  <c r="H384" i="1"/>
  <c r="H290" i="1"/>
  <c r="H372" i="1"/>
  <c r="H145" i="1"/>
  <c r="H257" i="1"/>
  <c r="H140" i="1"/>
  <c r="H144" i="1"/>
  <c r="H149" i="1"/>
  <c r="H371" i="1"/>
  <c r="H151" i="1"/>
  <c r="H152" i="1"/>
  <c r="H153" i="1"/>
  <c r="H154" i="1"/>
  <c r="H173" i="1"/>
  <c r="H128" i="1"/>
  <c r="H211" i="1"/>
  <c r="H422" i="1"/>
  <c r="H420" i="1"/>
  <c r="H160" i="1"/>
  <c r="H161" i="1"/>
  <c r="H162" i="1"/>
  <c r="H409" i="1"/>
  <c r="H407" i="1"/>
  <c r="H165" i="1"/>
  <c r="H326" i="1"/>
  <c r="H167" i="1"/>
  <c r="H163" i="1"/>
  <c r="H121" i="1"/>
  <c r="H164" i="1"/>
  <c r="H171" i="1"/>
  <c r="H238" i="1"/>
  <c r="H333" i="1"/>
  <c r="H166" i="1"/>
  <c r="H175" i="1"/>
  <c r="H203" i="1"/>
  <c r="H399" i="1"/>
  <c r="H178" i="1"/>
  <c r="H179" i="1"/>
  <c r="H182" i="1"/>
  <c r="H123" i="1"/>
  <c r="H319" i="1"/>
  <c r="H183" i="1"/>
  <c r="H186" i="1"/>
  <c r="H201" i="1"/>
  <c r="H296" i="1"/>
  <c r="H224" i="1"/>
  <c r="H158" i="1"/>
  <c r="H242" i="1"/>
  <c r="H347" i="1"/>
  <c r="H188" i="1"/>
  <c r="H174" i="1"/>
  <c r="H278" i="1"/>
  <c r="H410" i="1"/>
  <c r="H195" i="1"/>
  <c r="H396" i="1"/>
  <c r="H197" i="1"/>
  <c r="H198" i="1"/>
  <c r="H199" i="1"/>
  <c r="H411" i="1"/>
  <c r="H298" i="1"/>
  <c r="H426" i="1"/>
  <c r="H150" i="1"/>
  <c r="H241" i="1"/>
  <c r="H250" i="1"/>
  <c r="H315" i="1"/>
  <c r="H207" i="1"/>
  <c r="H208" i="1"/>
  <c r="H181" i="1"/>
  <c r="H184" i="1"/>
  <c r="H383" i="1"/>
  <c r="H212" i="1"/>
  <c r="H213" i="1"/>
  <c r="H204" i="1"/>
  <c r="H215" i="1"/>
  <c r="H216" i="1"/>
  <c r="H356" i="1"/>
  <c r="H209" i="1"/>
  <c r="H393" i="1"/>
  <c r="H220" i="1"/>
  <c r="H221" i="1"/>
  <c r="H127" i="1"/>
  <c r="H223" i="1"/>
  <c r="H226" i="1"/>
  <c r="H148" i="1"/>
  <c r="H206" i="1"/>
  <c r="H227" i="1"/>
  <c r="H228" i="1"/>
  <c r="H230" i="1"/>
  <c r="H237" i="1"/>
  <c r="H239" i="1"/>
  <c r="H232" i="1"/>
  <c r="H214" i="1"/>
  <c r="H234" i="1"/>
  <c r="H380" i="1"/>
  <c r="H236" i="1"/>
  <c r="H248" i="1"/>
  <c r="H135" i="1"/>
  <c r="H252" i="1"/>
  <c r="H240" i="1"/>
  <c r="H413" i="1"/>
  <c r="H170" i="1"/>
  <c r="H243" i="1"/>
  <c r="H244" i="1"/>
  <c r="H245" i="1"/>
  <c r="H246" i="1"/>
  <c r="H428" i="1"/>
  <c r="H359" i="1"/>
  <c r="H139" i="1"/>
  <c r="H355" i="1"/>
  <c r="H262" i="1"/>
  <c r="H268" i="1"/>
  <c r="H253" i="1"/>
  <c r="H331" i="1"/>
  <c r="H255" i="1"/>
  <c r="H194" i="1"/>
  <c r="H351" i="1"/>
  <c r="H131" i="1"/>
  <c r="H259" i="1"/>
  <c r="H231" i="1"/>
  <c r="H261" i="1"/>
  <c r="H342" i="1"/>
  <c r="H263" i="1"/>
  <c r="H270" i="1"/>
  <c r="H265" i="1"/>
  <c r="H310" i="1"/>
  <c r="H267" i="1"/>
  <c r="H272" i="1"/>
  <c r="H99" i="1"/>
  <c r="H273" i="1"/>
  <c r="H271" i="1"/>
  <c r="H138" i="1"/>
  <c r="H274" i="1"/>
  <c r="H177" i="1"/>
  <c r="H275" i="1"/>
  <c r="H276" i="1"/>
  <c r="H348" i="1"/>
  <c r="H281" i="1"/>
  <c r="H279" i="1"/>
  <c r="H280" i="1"/>
  <c r="H362" i="1"/>
  <c r="H102" i="1"/>
  <c r="H312" i="1"/>
  <c r="H284" i="1"/>
  <c r="H285" i="1"/>
  <c r="H196" i="1"/>
  <c r="H283" i="1"/>
  <c r="H288" i="1"/>
  <c r="H289" i="1"/>
  <c r="H367" i="1"/>
  <c r="H291" i="1"/>
  <c r="H344" i="1"/>
  <c r="H287" i="1"/>
  <c r="H277" i="1"/>
  <c r="H416" i="1"/>
  <c r="H415" i="1"/>
  <c r="H297" i="1"/>
  <c r="H176" i="1"/>
  <c r="H299" i="1"/>
  <c r="H292" i="1"/>
  <c r="H205" i="1"/>
  <c r="H302" i="1"/>
  <c r="H303" i="1"/>
  <c r="H294" i="1"/>
  <c r="H305" i="1"/>
  <c r="H295" i="1"/>
  <c r="H304" i="1"/>
  <c r="H189" i="1"/>
  <c r="H306" i="1"/>
  <c r="H346" i="1"/>
  <c r="H311" i="1"/>
  <c r="H307" i="1"/>
  <c r="H313" i="1"/>
  <c r="H156" i="1"/>
  <c r="H185" i="1"/>
  <c r="H316" i="1"/>
  <c r="H172" i="1"/>
  <c r="H318" i="1"/>
  <c r="H389" i="1"/>
  <c r="H366" i="1"/>
  <c r="H159" i="1"/>
  <c r="H322" i="1"/>
  <c r="H323" i="1"/>
  <c r="H324" i="1"/>
  <c r="H191" i="1"/>
  <c r="H269" i="1"/>
  <c r="H327" i="1"/>
  <c r="H328" i="1"/>
  <c r="H251" i="1"/>
  <c r="H330" i="1"/>
  <c r="H308" i="1"/>
  <c r="H390" i="1"/>
  <c r="H157" i="1"/>
  <c r="H133" i="1"/>
  <c r="H335" i="1"/>
  <c r="H336" i="1"/>
  <c r="H337" i="1"/>
  <c r="H192" i="1"/>
  <c r="H339" i="1"/>
  <c r="H340" i="1"/>
  <c r="H320" i="1"/>
  <c r="H147" i="1"/>
  <c r="H343" i="1"/>
  <c r="H332" i="1"/>
  <c r="H345" i="1"/>
  <c r="H254" i="1"/>
  <c r="H321" i="1"/>
  <c r="H325" i="1"/>
  <c r="H256" i="1"/>
  <c r="H235" i="1"/>
  <c r="H329" i="1"/>
  <c r="H352" i="1"/>
  <c r="H353" i="1"/>
  <c r="H354" i="1"/>
  <c r="H300" i="1"/>
  <c r="H404" i="1"/>
  <c r="H349" i="1"/>
  <c r="H381" i="1"/>
  <c r="H193" i="1"/>
  <c r="H225" i="1"/>
  <c r="H361" i="1"/>
  <c r="H350" i="1"/>
  <c r="H363" i="1"/>
  <c r="H375" i="1"/>
  <c r="H247" i="1"/>
  <c r="H210" i="1"/>
  <c r="H107" i="1"/>
  <c r="H368" i="1"/>
  <c r="H130" i="1"/>
  <c r="H370" i="1"/>
  <c r="H103" i="1"/>
  <c r="H314" i="1"/>
  <c r="H373" i="1"/>
  <c r="H374" i="1"/>
  <c r="H357" i="1"/>
  <c r="H360" i="1"/>
  <c r="H364" i="1"/>
  <c r="H378" i="1"/>
  <c r="H379" i="1"/>
  <c r="H365" i="1"/>
  <c r="H155" i="1"/>
  <c r="H382" i="1"/>
  <c r="H334" i="1"/>
  <c r="H168" i="1"/>
  <c r="H385" i="1"/>
  <c r="H386" i="1"/>
  <c r="H387" i="1"/>
  <c r="H388" i="1"/>
  <c r="H394" i="1"/>
  <c r="H376" i="1"/>
  <c r="H391" i="1"/>
  <c r="H266" i="1"/>
  <c r="H143" i="1"/>
  <c r="H187" i="1"/>
  <c r="H338" i="1"/>
  <c r="H282" i="1"/>
  <c r="H397" i="1"/>
  <c r="H398" i="1"/>
  <c r="H137" i="1"/>
  <c r="H309" i="1"/>
  <c r="H401" i="1"/>
  <c r="H402" i="1"/>
  <c r="H403" i="1"/>
  <c r="H369" i="1"/>
  <c r="H301" i="1"/>
  <c r="H406" i="1"/>
  <c r="H105" i="1"/>
  <c r="H408" i="1"/>
  <c r="H222" i="1"/>
  <c r="H392" i="1"/>
  <c r="H341" i="1"/>
  <c r="H412" i="1"/>
  <c r="H405" i="1"/>
  <c r="H414" i="1"/>
  <c r="H293" i="1"/>
  <c r="H190" i="1"/>
  <c r="H417" i="1"/>
  <c r="H418" i="1"/>
  <c r="H419" i="1"/>
  <c r="H98" i="1"/>
  <c r="H421" i="1"/>
  <c r="H377" i="1"/>
  <c r="H423" i="1"/>
  <c r="H424" i="1"/>
  <c r="H425" i="1"/>
  <c r="H286" i="1"/>
  <c r="H427" i="1"/>
  <c r="H169" i="1"/>
  <c r="H429" i="1"/>
  <c r="H430" i="1"/>
  <c r="H2" i="1"/>
</calcChain>
</file>

<file path=xl/sharedStrings.xml><?xml version="1.0" encoding="utf-8"?>
<sst xmlns="http://schemas.openxmlformats.org/spreadsheetml/2006/main" count="2362" uniqueCount="460">
  <si>
    <t>Nombre (Inventario)</t>
  </si>
  <si>
    <t>Project Key</t>
  </si>
  <si>
    <t>Violations</t>
  </si>
  <si>
    <t>LOC</t>
  </si>
  <si>
    <t>Duplicación (%)</t>
  </si>
  <si>
    <t>Cobertura (%)</t>
  </si>
  <si>
    <t>Debt Ratio (%)</t>
  </si>
  <si>
    <t>Porcentaje</t>
  </si>
  <si>
    <t xml:space="preserve">QG Asignado </t>
  </si>
  <si>
    <t>Categoria</t>
  </si>
  <si>
    <t>Criterio Aplicado</t>
  </si>
  <si>
    <t>Observacion</t>
  </si>
  <si>
    <t>Mareigua.Fanaia.Administradora.ValidacionesPropias.Datos:Quality</t>
  </si>
  <si>
    <t>Flexible</t>
  </si>
  <si>
    <t>Alto</t>
  </si>
  <si>
    <t>Codigo duplicado</t>
  </si>
  <si>
    <t>Mareigua.Fanaia.Administradoras.Servicio:Quality</t>
  </si>
  <si>
    <t>Mareigua.Fanaia.ControlAcceso:Quality</t>
  </si>
  <si>
    <t>Mareigua.Fanaia.TransmisorPlanillaIntegrada.Integrador:Quality</t>
  </si>
  <si>
    <t>Cobertura de codigo</t>
  </si>
  <si>
    <t>Mareigua.Fanaia.Aportes.MediosDePago.Aplicacion:Quality</t>
  </si>
  <si>
    <t>Mareigua.Fanaia.Administradora.ValidacionesPropias.Servicios:Quality</t>
  </si>
  <si>
    <t>Mafas40:Quality</t>
  </si>
  <si>
    <t>Mareigua.Fanaia.Administradora.ValidacionesPropias.Aplicacion:Quality</t>
  </si>
  <si>
    <t>Mareigua.Fanaia.Personas.Cotizantes.Aplicacion:Quality</t>
  </si>
  <si>
    <t>Mareigua.Pagos:Quality</t>
  </si>
  <si>
    <t>Cesantias.Validador:Quality</t>
  </si>
  <si>
    <t>Codigo Nuevo</t>
  </si>
  <si>
    <t>Media</t>
  </si>
  <si>
    <t>Certificados.Servicio:Quality</t>
  </si>
  <si>
    <t>Fanaia.OtrosOperadores.Aplicacion:Quality</t>
  </si>
  <si>
    <t>Mareigua.Fanaia.Administradora.ValidacionesPropias.Cargue:Quality</t>
  </si>
  <si>
    <t>AEL.Fanaia.Liquidaciones.Interna.API:Quality</t>
  </si>
  <si>
    <t>Mareigua.Fanaia.Aportes.SolicitudesBatch.Servicio:Quality</t>
  </si>
  <si>
    <t>AEL.AuditoriaTransaccional.API</t>
  </si>
  <si>
    <t>Mareigua.Fanaia.Utilidades.Comunicaciones:Quality</t>
  </si>
  <si>
    <t>Aportes.Fanaia.PILA.Exportador.Libreria:Quality</t>
  </si>
  <si>
    <t>ControlAcceso:Quality</t>
  </si>
  <si>
    <t>AEL.LogsAuditoria.Infrastructure.Libreria:Quality</t>
  </si>
  <si>
    <t>Mareigua.Fanaia.ValidadorPlanillaN:Quality</t>
  </si>
  <si>
    <t>Mareigua.Fanaia.Personas.Cotizantes.Servicio:Quality</t>
  </si>
  <si>
    <t>Mafas47:Quality</t>
  </si>
  <si>
    <t>AEL.Notificaciones.BackEnd.API:Quality</t>
  </si>
  <si>
    <t>Fanaia.OtrosOperadores.Entidades:Quality</t>
  </si>
  <si>
    <t>CuentaCobroUgpp.Aplicacion:Quality</t>
  </si>
  <si>
    <t>Mareigua.Fanaia.ControlAcceso.Entidades:Quality</t>
  </si>
  <si>
    <t>MafaW10:Quality</t>
  </si>
  <si>
    <t>Mareigua.Fanaia.Aportes.AportesMafa.Servicio:Quality</t>
  </si>
  <si>
    <t>Mareigua.Fanaia.Aportes.Liquidaciones.Servicio:Quality</t>
  </si>
  <si>
    <t>AutorizacionReprocesos.Entidades:Quality</t>
  </si>
  <si>
    <t>AEL.InfobipLogs.Functions.Application.Quality</t>
  </si>
  <si>
    <t>AEL.AfiliacionEnLinea.DebidaDiligencia.Servicio:Quality</t>
  </si>
  <si>
    <t>AEL.Administradora.CotizantesMultiplesPagos.ValidarEstructura.API:Quality</t>
  </si>
  <si>
    <t>Mareigua.Fanaia.Aportes.SolicitudesBatch.Aplicacion:Quality</t>
  </si>
  <si>
    <t>AfiliacionElectronicaFront:Quality</t>
  </si>
  <si>
    <t>Evaluar</t>
  </si>
  <si>
    <t>AEL.AfiliacionEnLinea.TyC.Servicio:Quality</t>
  </si>
  <si>
    <t>Mareigua.Fanaia.Pagos.Servicios.Fachada:Quality</t>
  </si>
  <si>
    <t>ControlAccesoPersona:Quality</t>
  </si>
  <si>
    <t>AEL.Utilidades.Comunicaciones:Quality</t>
  </si>
  <si>
    <t>MafaSW12:Quality</t>
  </si>
  <si>
    <t>Mareigua.Fanaia.Personas.Aportantes.Servicio:Quality</t>
  </si>
  <si>
    <t>Mafas12:Quality</t>
  </si>
  <si>
    <t>AEL.AfiliacionEnLinea.ServiciosExternos.Servicio:Quality</t>
  </si>
  <si>
    <t>AEL.API.Utils:Quality</t>
  </si>
  <si>
    <t>MafaSW33:Quality</t>
  </si>
  <si>
    <t>Mareigua.Fanaia.Pagos.AplicacionWeb:Quality</t>
  </si>
  <si>
    <t>MaquinaEstados.Aplicacion:Quality</t>
  </si>
  <si>
    <t>Mareigua.Notificaciones.Servicio:Quality</t>
  </si>
  <si>
    <t>Vinculados.Aplicacion:Quality</t>
  </si>
  <si>
    <t>AEL.AfiliacionEnLinea.Registro.Servicio:Quality</t>
  </si>
  <si>
    <t>Mareigua.Notificaciones.Proxy:Quality</t>
  </si>
  <si>
    <t>Mareigua.Fanaia.Parametros.Aplicacion:Quality</t>
  </si>
  <si>
    <t>Agente.integrador:Quality</t>
  </si>
  <si>
    <t>Mareigua.Fanaia.Utilidades.Aplicacion:Quality</t>
  </si>
  <si>
    <t>MafaWC02:Quality</t>
  </si>
  <si>
    <t>MafaSW37:Quality</t>
  </si>
  <si>
    <t>Mafas56:Quality</t>
  </si>
  <si>
    <t>Mareigua.Fanaia.Parametros.Servicio:Quality</t>
  </si>
  <si>
    <t>OperadorCentral.Integrador:Quality</t>
  </si>
  <si>
    <t>SerializadorXML:Quality</t>
  </si>
  <si>
    <t>AEL.LogsBancarios.LogsANube.Service:Quality</t>
  </si>
  <si>
    <t>MafaS15:Quality</t>
  </si>
  <si>
    <t>AEL.AfiliacionEnLinea.Portal.Web:Quality</t>
  </si>
  <si>
    <t>Duplicado con AfiliacionElectronicaFront:Quality</t>
  </si>
  <si>
    <t>Mareigua.Fanaia.ControlAcceso.Aplicacion:Quality</t>
  </si>
  <si>
    <t>Mareigua.Fanaia.Contratos.Entidades:Quality</t>
  </si>
  <si>
    <t>MafaS41:Quality</t>
  </si>
  <si>
    <t>Aportes.Fanaia.Administradora.Glosas.Aplicacion:Quality</t>
  </si>
  <si>
    <t>Certificados.Aplicacion:Quality</t>
  </si>
  <si>
    <t>ServiciosExternos:Quality</t>
  </si>
  <si>
    <t>Mareigua.Fanaia.AdministradoraPILA.MaquinaEstados.Aplicacion:Quality</t>
  </si>
  <si>
    <t>Mafas24:Quality</t>
  </si>
  <si>
    <t>Fanaia.OtrosOperadores.Receptor:Quality</t>
  </si>
  <si>
    <t>AEL.LogsAuditoria.Function:Quality</t>
  </si>
  <si>
    <t>Mareigua.Fanaia.Pagos.PILA.Servicio:Quality</t>
  </si>
  <si>
    <t>Mareigua.Fanaia.Aportes.SolicitudesBatch.WindowsService:Quality</t>
  </si>
  <si>
    <t>MafaWS07:Quality</t>
  </si>
  <si>
    <t>mafac14:Quality</t>
  </si>
  <si>
    <t>Aportes.Fanaia.PILA.Exportador.Servicio:Quality</t>
  </si>
  <si>
    <t>MafaS44:Quality</t>
  </si>
  <si>
    <t>AEL.Administradora.Integrador:Quality</t>
  </si>
  <si>
    <t>Mareigua.Fanaia.Aportes.MediosDePago.Servicio:Quality</t>
  </si>
  <si>
    <t>TransmisorPlanillaIntegrada:Quality</t>
  </si>
  <si>
    <t>Aportes.Fanaia.Utilidades.Aplicacion:Quality</t>
  </si>
  <si>
    <t>Mareigua.Fanaia.Aportes.Liquidaciones.Aplicacion:Quality</t>
  </si>
  <si>
    <t>MafaS63:Quality</t>
  </si>
  <si>
    <t>Aportes.Fanaia.PILA.Exportador.Consola.ReExportador:Quality</t>
  </si>
  <si>
    <t>Mareigua.Fanaia.ControlAcceso.Servicio:Quality</t>
  </si>
  <si>
    <t>Mareigua.Fanaia.Informe:Quality</t>
  </si>
  <si>
    <t>Mareigua.Fanaia.Auditoria.Servicio:Quality</t>
  </si>
  <si>
    <t>Mareigua.Fanaia.Parametros.Entidades:Quality</t>
  </si>
  <si>
    <t>Fanaia.OtrosOperadores.Integrador:Quality</t>
  </si>
  <si>
    <t>AEL.LogsBancarios.Api:Quality</t>
  </si>
  <si>
    <t>Mareigua.Fanaia.TransmisorPlanillaIntegrada.ServicioWeb:Quality</t>
  </si>
  <si>
    <t>Mareigua.Fanaia.ReversionPago:Quality</t>
  </si>
  <si>
    <t>Administradora.Publicador.Nube:Quality</t>
  </si>
  <si>
    <t>Estandar</t>
  </si>
  <si>
    <t>Baja</t>
  </si>
  <si>
    <t>AEL.Administradora.ActualizacionMarcas.Function:Quality</t>
  </si>
  <si>
    <t>AEL.Administradora.ActualizacionMarcasPorvenir.Function</t>
  </si>
  <si>
    <t>MafaSW26:Quality</t>
  </si>
  <si>
    <t>AEL.Administradora.ArchivosInterconexion.API:Quality</t>
  </si>
  <si>
    <t>AEL.Administradora.ArchivosSalida.API:Quality</t>
  </si>
  <si>
    <t>AEL.Administradora.AsignarGlosas.Function:Quality</t>
  </si>
  <si>
    <t>No hay metricas</t>
  </si>
  <si>
    <t>AEL.Administradora.CargueDatosBDReferencias.API:Quality</t>
  </si>
  <si>
    <t>ArchivosSalida_Aplicacion:Quality</t>
  </si>
  <si>
    <t>AEL.Administradora.CargueDatosBDReferencias.Funcion:Quality</t>
  </si>
  <si>
    <t>Portal.FrontDeL.Consultas.API:Quality</t>
  </si>
  <si>
    <t>ConversorUgppAPlanillaN:Quality</t>
  </si>
  <si>
    <t>TerminosYCondiciones.Frontend:Quality</t>
  </si>
  <si>
    <t>Fanaia.Autoservicio.Web:Quality</t>
  </si>
  <si>
    <t>AEL.LogsBancarios.CifrarLogModificado.Function:Quality</t>
  </si>
  <si>
    <t>Mafas58:Quality</t>
  </si>
  <si>
    <t>AEL.Administradora.Cifrado.Function:Quality</t>
  </si>
  <si>
    <t>AEL.Administradora.CotizantesMultiplesPagos.GenerarEstructura.Function:Quality</t>
  </si>
  <si>
    <t>MafaC16:Quality</t>
  </si>
  <si>
    <t>MafaSW35:Quality</t>
  </si>
  <si>
    <t>AEL.Administradora.CotizantesMultiplesPagos.ValidarEstructura.Function:Quality</t>
  </si>
  <si>
    <t>AEL.Administradora.Empaquetador.API:Quality</t>
  </si>
  <si>
    <t>MafaWC01:Quality</t>
  </si>
  <si>
    <t>AEL.Administradora.ErroresGlosas.GestorDB.API:Quality</t>
  </si>
  <si>
    <t>AEL.Administradora.GeneracionResultados.Trasladar.Function:Quality</t>
  </si>
  <si>
    <t>AEL.Administradora.GestorInterfazDB.Api:Quality</t>
  </si>
  <si>
    <t>Mareigua.Fanaia.Novedades:Quality</t>
  </si>
  <si>
    <t>AEL.Administradora.Conciliador:Quality</t>
  </si>
  <si>
    <t>AEL.Administradora.GlosasAdminActualizarControl.Function:Quality</t>
  </si>
  <si>
    <t>AEL.Administradora.GlosasAdministradora.Function:Quality</t>
  </si>
  <si>
    <t>AEL.Administradora.GlosasAutomaticas.Function:Quality</t>
  </si>
  <si>
    <t>AEL.Administradora.Puente.Function:Quality</t>
  </si>
  <si>
    <t>AEL.Administradora.IdentificarGlosas.Function:Quality</t>
  </si>
  <si>
    <t>AEL.Administradora.Integrador.GestorCola.Function:Quality</t>
  </si>
  <si>
    <t>AEL.Administradora.Conciliacion.API:Quality</t>
  </si>
  <si>
    <t>AEL.Administradora.Integrador.GestorDB.API:Quality</t>
  </si>
  <si>
    <t>AEL.Administradora.Integrador.Worker.WebJob:Quality</t>
  </si>
  <si>
    <t>AEL.Administradora.Monitor.Function:Quality</t>
  </si>
  <si>
    <t>AEL.Administradora.Orquestador.Function:Quality</t>
  </si>
  <si>
    <t>AEL.Administradora.Planillas.API:Quality</t>
  </si>
  <si>
    <t>AEL.Administradora.Portal.BFF.API:Quality</t>
  </si>
  <si>
    <t>AEL.Administradora.Publicador.Notificar.Function:Quality</t>
  </si>
  <si>
    <t>AEL.Administradora.Publicador.Worker:Quality</t>
  </si>
  <si>
    <t>Fanaia.MINPS.Aplicacion:Quality</t>
  </si>
  <si>
    <t>AEL.Administradora.Receptor.Function:Quality</t>
  </si>
  <si>
    <t>AEL.Administradora.Transportador.Worker:Quality</t>
  </si>
  <si>
    <t>AEL.Administradora.Validador.Empleadores.Function:Quality</t>
  </si>
  <si>
    <t>Cesantias.ReExportador:Qaulity</t>
  </si>
  <si>
    <t>AEL.AfiliacionEnLinea.Afiliacion.Funcion:Quality</t>
  </si>
  <si>
    <t>AEL.AfiliacionEnLinea.Aportantes.Servicio:Quality</t>
  </si>
  <si>
    <t>AEL.AfiliacionEnLinea.Empleador.Servicio:Quality</t>
  </si>
  <si>
    <t>mafas26:Quality</t>
  </si>
  <si>
    <t>AEL.AfiliacionEnLinea.NotificacionesEmail.Funcion:Quality</t>
  </si>
  <si>
    <t>ProcesadorArchivos.Entidades:Quality</t>
  </si>
  <si>
    <t>MafaS46:Quality</t>
  </si>
  <si>
    <t>AEL.Descomprimir.Funcion:Quality</t>
  </si>
  <si>
    <t>MafaW14:Quality</t>
  </si>
  <si>
    <t>AEL.AfiliacionEnLinea.Pagos.Servicio:Quality</t>
  </si>
  <si>
    <t>AEL.AfiliacionEnLinea.Parametricas.Servicio:Quality</t>
  </si>
  <si>
    <t>AEL.AfiliacionEnLinea.Personas.Servicio:Quality</t>
  </si>
  <si>
    <t>AEL.AfiliacionEnLinea.Procesos.Gateway:Quality</t>
  </si>
  <si>
    <t>AEL.AfiliacionEnLinea.SeguridadToken.Servicio:Quality</t>
  </si>
  <si>
    <t>AEL.Anubis.API:Quality</t>
  </si>
  <si>
    <t>AEL.LiquidacionCatalogosParametros.API</t>
  </si>
  <si>
    <t>Aportes.Fanaia.GeneradorPlanillasD:Quality</t>
  </si>
  <si>
    <t>AEL.Anubis.BFF:Quality</t>
  </si>
  <si>
    <t>AEL.Anubis.Portal:Quality</t>
  </si>
  <si>
    <t>ael-nomina-front:Quality</t>
  </si>
  <si>
    <t>AEL.Atlas.TransformadorContable.Libreria:Quality</t>
  </si>
  <si>
    <t>CuentaCobroUgpp.Entidades:Quality</t>
  </si>
  <si>
    <t>AEL.Auditoria.BFF.API:Quality</t>
  </si>
  <si>
    <t>AEL.Auditoria.Consulta.Api:Quality</t>
  </si>
  <si>
    <t>AEL.Auditoria.IndexEventos.Funcion_QG</t>
  </si>
  <si>
    <t>Mareigua.Fanaia.Cesantias.Consulta.Aplicacion:Quality</t>
  </si>
  <si>
    <t>AEL.Auditoria.Libreria</t>
  </si>
  <si>
    <t>AEL.Auditoria.Portal:Quality</t>
  </si>
  <si>
    <t>AEL.Auditoria.ProcesamientoEventos.Funcion_QG</t>
  </si>
  <si>
    <t>MafaS60:Quality</t>
  </si>
  <si>
    <t>AEL.Azure.KeyVault.Library:Quality</t>
  </si>
  <si>
    <t>AEL.BDReferencia.CargueDatos.Function:Quality</t>
  </si>
  <si>
    <t>Errores_Aplicacion:Quality</t>
  </si>
  <si>
    <t>AEL.NuevoHome.Web:Quality</t>
  </si>
  <si>
    <t>AEL.BDReferencia.DoubleMetaphone.Function:Quality</t>
  </si>
  <si>
    <t>AEL.Candados.Servicio:Quality</t>
  </si>
  <si>
    <t>AEL.Cifrado.CorrienteAHistorico.Service:Quality</t>
  </si>
  <si>
    <t>Mareigua.Fanaia.ReportesLocales:Quality</t>
  </si>
  <si>
    <t>AEL.Cifrado.HistoricoaNube.Service:Quality</t>
  </si>
  <si>
    <t>AEL.CifradoDescifrado.Funcion:Quality</t>
  </si>
  <si>
    <t>AEL.Comercial.ServicioWindows:Quality</t>
  </si>
  <si>
    <t>AEL.Contactenos.API:Quality</t>
  </si>
  <si>
    <t>AEL.Contactenos.AzureFunctions.Net:Quality</t>
  </si>
  <si>
    <t>AEL.Contactenos.Integracion.API:Quality</t>
  </si>
  <si>
    <t>AEL.Contactenos.Web:Quality</t>
  </si>
  <si>
    <t>AEL.ControlAcceso.Servicio:Quality</t>
  </si>
  <si>
    <t>AEL.DebidaDiligencia.Backend:Quality</t>
  </si>
  <si>
    <t>AEL.Empaquetador.ActivarProcesos.Function:Quality</t>
  </si>
  <si>
    <t>AEL.Empaquetador.CifrarArchivosPub.Function:Quality</t>
  </si>
  <si>
    <t>MafaC38:Quality</t>
  </si>
  <si>
    <t>AEL.Empaquetador.Comprimir.Function:Quality</t>
  </si>
  <si>
    <t>MaquinaEstados.Entidades:Quality</t>
  </si>
  <si>
    <t>Aportes.NSinpago:Quality</t>
  </si>
  <si>
    <t>Mareigua.Fanaia.Administradora.Integrador.Servicios:Quality</t>
  </si>
  <si>
    <t>AEL.Empaquetador.MoverArchivos.Function:Quality</t>
  </si>
  <si>
    <t>AEL.Facturador.ConsultaEstados.Funcion:Quality</t>
  </si>
  <si>
    <t>AEL.Facturador.EnvioFactura.Funcion:Quality</t>
  </si>
  <si>
    <t>AEL.Facturador.Gestor.API.Quality</t>
  </si>
  <si>
    <t>AEL.Facturador.Proveedores.Libreria:Quality</t>
  </si>
  <si>
    <t>AEL.Fanaia.CesantiasLiquidacion.Servicio:Quality</t>
  </si>
  <si>
    <t>AEL.Fanaia.DistribucionAportesPension.API</t>
  </si>
  <si>
    <t>AEL.Notificaciones.BackEnd.API</t>
  </si>
  <si>
    <t>AEL.Administradora.Receptor:Quality</t>
  </si>
  <si>
    <t>AEL.Fanaia.DistribucionAportesPension.Aplicacion:Quality</t>
  </si>
  <si>
    <t>AEL.Fanaia.Empleadores.API:Quality</t>
  </si>
  <si>
    <t>AEL.Fanaia.Empleados.Interna.API:Quality</t>
  </si>
  <si>
    <t>ael-api-nomina-employer:Quality</t>
  </si>
  <si>
    <t>AEL.Fanaia.SoyActuario:Quality</t>
  </si>
  <si>
    <t>AEL.Fanaia.Fachadas.Logs.API</t>
  </si>
  <si>
    <t>MafaC50:Quality</t>
  </si>
  <si>
    <t>mafasw09:Quality</t>
  </si>
  <si>
    <t>AEL.Fanaia.Orquestador.Liquidaciones.API:Quality</t>
  </si>
  <si>
    <t>AEL.Fanaia.OrquestadorLogs.API</t>
  </si>
  <si>
    <t>AEL.Fanaia.Pagos.API:Quality</t>
  </si>
  <si>
    <t>Mareigua.Fanaia.Utilidades.Servicio:Quality</t>
  </si>
  <si>
    <t>AEL.GeneracionResultadosContador.DurableFunction:Quality</t>
  </si>
  <si>
    <t>AEL.Fanaia.ProcesosInterconexion.Servicio:Quality</t>
  </si>
  <si>
    <t>Voluntarias.Aplicacion:Quality</t>
  </si>
  <si>
    <t>AEL.Fanaia.Reportes.API:Quality</t>
  </si>
  <si>
    <t>AEL.FanaiaRecaudo.CifradoBanRep.Servicio:Quality</t>
  </si>
  <si>
    <t>AEL.FanaiaRecaudo.DAP</t>
  </si>
  <si>
    <t>Mareigua.Fanaia.MediosMagneticos.Servicio:Quality</t>
  </si>
  <si>
    <t>MafaSW36:Quality</t>
  </si>
  <si>
    <t>AEL.GeneracionResultados.ArchivosFinales.Function:Quality</t>
  </si>
  <si>
    <t>AEL.Generador.Salida.ArchivosAcreditacion.Function</t>
  </si>
  <si>
    <t>AEL.Generador.Salida.ArchivosImputacion.Function</t>
  </si>
  <si>
    <t>MafaS59:Quality</t>
  </si>
  <si>
    <t>AEL.Generador.Salida.StickerOmisosCalcular.Function:Quality</t>
  </si>
  <si>
    <t>LecturaArchivos:Quality</t>
  </si>
  <si>
    <t>AEL.GeneradorSalidas.Colpensiones.Funcion:Quality</t>
  </si>
  <si>
    <t>Mareigua.Fanaia.Aportes.Contratos.Servicio:Quality</t>
  </si>
  <si>
    <t>AEL.infobip.servicebackend:Quality</t>
  </si>
  <si>
    <t>AEL.Interconexion.GestorColasInterconexion.Aplicacion:Quality</t>
  </si>
  <si>
    <t>AEL.LogsAsync.Functions</t>
  </si>
  <si>
    <t>Administradora.Monitor.Nube:Quality</t>
  </si>
  <si>
    <t>AEL.LogsBancarios.ActivarTransferirFTPS.Function:Quality</t>
  </si>
  <si>
    <t>AEL.LogsBancarios.AdministradorColas.Function:Quality</t>
  </si>
  <si>
    <t>MafaW28:Quality</t>
  </si>
  <si>
    <t>MafaWCF05:Quality</t>
  </si>
  <si>
    <t>Mareigua.Fanaia.Contratos.Aplicacion:Quality</t>
  </si>
  <si>
    <t>Mase05s02:Quality</t>
  </si>
  <si>
    <t>AEL.LogsBancarios.Archivo.Api:Quality</t>
  </si>
  <si>
    <t>AEL.LogsBancarios.CargueLogsANube.Function:Quality</t>
  </si>
  <si>
    <t>AEL.LogsBancarios.Contador.Api:Quality</t>
  </si>
  <si>
    <t>AEL.LogsBancarios.DescifrarLogs.Function:Quality</t>
  </si>
  <si>
    <t>AEL.LogsBancarios.Function:Quality</t>
  </si>
  <si>
    <t>AEL.LogsBancarios.HomologaConciliacion.Service:Quality</t>
  </si>
  <si>
    <t>Portal.MS.Masivas</t>
  </si>
  <si>
    <t>Portal.MS.Masivas:Quality</t>
  </si>
  <si>
    <t>AEL.LogsBancarios.IdentificaLogs.Funtion:Quality</t>
  </si>
  <si>
    <t>Mareigua.Fanaia.Administradora.Receptor.Servicios:Quality</t>
  </si>
  <si>
    <t>AEL.LogsBancarios.Notificaciones.Function:Quality</t>
  </si>
  <si>
    <t>AEL.LogsBancarios.StickerOmisos.AppService:Quality</t>
  </si>
  <si>
    <t>AEL.LogsBancarios.StickerRpm.AppService:Quality</t>
  </si>
  <si>
    <t>Errores_Entidades:Quality</t>
  </si>
  <si>
    <t>AEL.LogsBancarios.TransferirFTPS.Api:Quality</t>
  </si>
  <si>
    <t>Mareigua.Fanaia.MediosMagneticos.Aplicacion:Quality</t>
  </si>
  <si>
    <t>AEL.LogsBancarios.ValidaConvenio:Quality</t>
  </si>
  <si>
    <t>AEL.Administradora.AportanteIndependiente.Function:Quality</t>
  </si>
  <si>
    <t>AEL.LogsBancarios.ValidaEstructura:Quality</t>
  </si>
  <si>
    <t>MafaSW19:Quality</t>
  </si>
  <si>
    <t>MafaSW19Quality</t>
  </si>
  <si>
    <t>AEL.NominaElectronica.BackEnd:Quality</t>
  </si>
  <si>
    <t>AutorizacionReprocesos.Aplicacion:Quality</t>
  </si>
  <si>
    <t>AEL.NominaElectronica.Core:Quality</t>
  </si>
  <si>
    <t>AEL.NominaElectronica.Gateway.Api:Quality</t>
  </si>
  <si>
    <t>AEL.NominaElectronica.Infrastructure:Quality</t>
  </si>
  <si>
    <t>MafaSW29:Quality</t>
  </si>
  <si>
    <t>MafaSW29Quality</t>
  </si>
  <si>
    <t>AEL.NominaElectronica.Transversal:Quality</t>
  </si>
  <si>
    <t>AEL.NominaElectronica.WebJob:Quality</t>
  </si>
  <si>
    <t>AEL.Pagos.BLL:Quality</t>
  </si>
  <si>
    <t>AEL.NominaElectronica.FrontEnd:Quality</t>
  </si>
  <si>
    <t>Vinculados.Aplicacion.VB:Quality</t>
  </si>
  <si>
    <t>AEL.Pagos.DispersionACHCesantias.Servicio:Quality</t>
  </si>
  <si>
    <t>AEL.Pagos.DispersionACHPila.Servicio:Quality</t>
  </si>
  <si>
    <t>Mareigua.Fanaia.Aportes.NSinPago:Quality</t>
  </si>
  <si>
    <t>AEL.Publicacion.ActualizarBDPub.Api:Quality</t>
  </si>
  <si>
    <t>AEL.Pagos.DTO:Quality</t>
  </si>
  <si>
    <t>AEL.PasarelaPagos:Quality</t>
  </si>
  <si>
    <t>AEL.PasarelaPagos.Quality</t>
  </si>
  <si>
    <t>AEL.Personas.API:Quality</t>
  </si>
  <si>
    <t>Mase05s03:Quality</t>
  </si>
  <si>
    <t>Independientes.Web:Quality</t>
  </si>
  <si>
    <t>AEL.PPS.ConfirmacionPagos.API:Quality</t>
  </si>
  <si>
    <t>AEL.ProcesosSftp.QG</t>
  </si>
  <si>
    <t>MafaC37:Quality</t>
  </si>
  <si>
    <t>MafaSW15:Quality</t>
  </si>
  <si>
    <t>AEL.Publicacion.ActivarProcesoActualizarDB.Function:Quality</t>
  </si>
  <si>
    <t>Mareigua.Fanaia.Administradora.Puente.Servicios:Quality</t>
  </si>
  <si>
    <t>AEL.Publicacion.ActivarProcesos.Function:Quality</t>
  </si>
  <si>
    <t>AEL.Publicacion.CifrarArchivosPub.Function:Quality</t>
  </si>
  <si>
    <t>AEL.Publicacion.MoverTxtPub.Function:Quality</t>
  </si>
  <si>
    <t>AEL.ServiciosExternos.BackEnd:Quality</t>
  </si>
  <si>
    <t>AEL.TerminosyCondiciones.Aplicacion:Quality</t>
  </si>
  <si>
    <t>Mareigua.Personas:Quality</t>
  </si>
  <si>
    <t>AEL.TyC.Functions.Application:Quality</t>
  </si>
  <si>
    <t>Mareigua.Fanaia.AdministradoraPila.UtilidadesMafa:Quality</t>
  </si>
  <si>
    <t>AEL.ValidacionesPropias.AfiliacionesPorvenir.Function:Quality</t>
  </si>
  <si>
    <t>AEL.ValidacionesPropias.Afiliados.Function:Quality</t>
  </si>
  <si>
    <t>ael-function-afiliacion-electronica:Quality</t>
  </si>
  <si>
    <t>MafaSW41:Quality</t>
  </si>
  <si>
    <t>AEL.ValidacionesPropias.AfiliadosBeneficiariosFsp.Function:Quality</t>
  </si>
  <si>
    <t>ProcesadorArchivos.Aplicacion:Quality</t>
  </si>
  <si>
    <t>AEL.ValidacionesPropias.ArchivosSalida.API:Quality</t>
  </si>
  <si>
    <t>AEL.ValidacionesPropias.ComparaCadenas.API:Quality</t>
  </si>
  <si>
    <t>AEL.ValidacionesPropias.ComparaCadenas.Function:Quality</t>
  </si>
  <si>
    <t>AEL.ValidacionesPropias.ConsultarRedis.Library:Quality</t>
  </si>
  <si>
    <t>AEL.ValidacionesPropias.CuentasVigencias.Function:Quality</t>
  </si>
  <si>
    <t>Mareigua.Fanaia.Parametros.PILA.Aplicacion.:Quality</t>
  </si>
  <si>
    <t>AEL.ValidacionesPropias.Empleadores.Function:Quality</t>
  </si>
  <si>
    <t>MafaC23:Quality</t>
  </si>
  <si>
    <t>AEL.ValidacionesPropias.RelacionesLaborales.Function</t>
  </si>
  <si>
    <t>AEL.ValidadorPropio.DisposicionFinal.Api:Quality</t>
  </si>
  <si>
    <t>ael-api-nomina-onboarding:Quality</t>
  </si>
  <si>
    <t>AEL.ValidadorPropio.DisposicionFinal.Function:Quality</t>
  </si>
  <si>
    <t>AEL.LogsBancarios.Contador.Function:Quality</t>
  </si>
  <si>
    <t>AEL.ValidadorPropio.Distribucion.Function:Quality</t>
  </si>
  <si>
    <t>AEL.ValidadorPropio.Omisos.API</t>
  </si>
  <si>
    <t>AEL.ValidadorPropio.OmisosNovedad200.Function</t>
  </si>
  <si>
    <t>AEL.Autenticacion.TokenJWT:Quality</t>
  </si>
  <si>
    <t>Operadorcentral:Quality</t>
  </si>
  <si>
    <t>MafaWCF01:Quality</t>
  </si>
  <si>
    <t>AEL.ValidadorPropio.ValidarPlanillaPagada.Function</t>
  </si>
  <si>
    <t>AEL.ValidadorPropio.ValidarPlanillaPagada.Function:Quality</t>
  </si>
  <si>
    <t>MafaS25:Quality</t>
  </si>
  <si>
    <t>AEL.Contactenos.AzureFunctions.Py:Quality</t>
  </si>
  <si>
    <t>AEL.ValidadorPropio.ValidarTripartita.Function</t>
  </si>
  <si>
    <t>TiposIdentificacionMafa:Quality</t>
  </si>
  <si>
    <t>AEL.ValidarConciliacionOmisos.Funcion:Quality</t>
  </si>
  <si>
    <t>AEL.Voluntarias.Aportantes.API:Quality</t>
  </si>
  <si>
    <t>AEL.Voluntarias.Entidades:Quality</t>
  </si>
  <si>
    <t>ael-api-nomina-employee:Quality</t>
  </si>
  <si>
    <t>ael-api-nomina-payroll:Quality</t>
  </si>
  <si>
    <t>TerminosYCondiciones.Backend:Quality</t>
  </si>
  <si>
    <t>Cesantias.Aplicacion:Quality</t>
  </si>
  <si>
    <t>ael-api-nomina-novelty:Quality</t>
  </si>
  <si>
    <t>AEL.AuditoriaHistorico.API</t>
  </si>
  <si>
    <t>MafaC27:Quality</t>
  </si>
  <si>
    <t>ael-api-nomina-payslip:Quality</t>
  </si>
  <si>
    <t>ael-api-nomina-security:Quality</t>
  </si>
  <si>
    <t>ConsolidadorUgppPlanillasN:Quality</t>
  </si>
  <si>
    <t>ael-api-nomina-utils:Quality</t>
  </si>
  <si>
    <t>ConversorHTML:Quality</t>
  </si>
  <si>
    <t>Aportes.Contactenos.BD:Quality</t>
  </si>
  <si>
    <t>Aportes.Fanaia.CreacionMasivaUsuarios:Quality</t>
  </si>
  <si>
    <t>Aportes.FanaiaAdministradora.Portal</t>
  </si>
  <si>
    <t>Aportes.FanaiaAdministradora.Portal:Quality</t>
  </si>
  <si>
    <t>Cesantias.ReExportador:Quality</t>
  </si>
  <si>
    <t>CifradoRepositoriosPGP:Quality</t>
  </si>
  <si>
    <t>MafaSW38:Quality</t>
  </si>
  <si>
    <t>ael-api-nomina-payment:Quality</t>
  </si>
  <si>
    <t>Mareigua.Fanaia.Novedades.Refactor:Quality</t>
  </si>
  <si>
    <t>EnvioArchivos:Quality</t>
  </si>
  <si>
    <t>Fanaia.Autoservicio.Aplicacion:Quality</t>
  </si>
  <si>
    <t>Fanaia.Autoservicio.Entidades:Quality</t>
  </si>
  <si>
    <t>Fanaia.Servicios.Fachada:Quality</t>
  </si>
  <si>
    <t>GeneradorCertificados.Aplicacion:Quality</t>
  </si>
  <si>
    <t>GeneradorCertificados.Entidades:Quality</t>
  </si>
  <si>
    <t>AEL.Voluntarias.Aplicacion:Quality</t>
  </si>
  <si>
    <t>GeneradorCertificados.Servicio:Quality</t>
  </si>
  <si>
    <t>AEL.Publicacion.MoverArchivosPub.Function:Quality</t>
  </si>
  <si>
    <t>LiquidarEmpleadoresAsistida:Quality</t>
  </si>
  <si>
    <t>LogsAsincronos:Quality</t>
  </si>
  <si>
    <t>LogsBancarios-PlanillaNSinPago-GenerarLogsBancarios-Cola:Quality</t>
  </si>
  <si>
    <t>MafaAddin02:Quality</t>
  </si>
  <si>
    <t>AEL.Pagos.API:Quality</t>
  </si>
  <si>
    <t>MafaAddin03:Quality</t>
  </si>
  <si>
    <t>CifradoRepositorioLibrary:Quality</t>
  </si>
  <si>
    <t>Obtener metricas</t>
  </si>
  <si>
    <t>MafaAddin04:Quality</t>
  </si>
  <si>
    <t>MafaSW11:Quality</t>
  </si>
  <si>
    <t>MafaSW31:Quality</t>
  </si>
  <si>
    <t>ConsultaArchivos:Quality</t>
  </si>
  <si>
    <t>MafaSW14:Quality</t>
  </si>
  <si>
    <t>MafaSW20:Quality</t>
  </si>
  <si>
    <t>mafaSW20:Quality</t>
  </si>
  <si>
    <t>MafaSW34:Quality</t>
  </si>
  <si>
    <t>AEL.DebidaDiligencia.FrontEnd:Quality</t>
  </si>
  <si>
    <t>Mareigua.Fanaia.Aportes.Certificados.Servicio:Quality</t>
  </si>
  <si>
    <t>mafawcf03:Quality</t>
  </si>
  <si>
    <t>MafaWCF04:Quality</t>
  </si>
  <si>
    <t>ael-api-nomina-gateway:Quality</t>
  </si>
  <si>
    <t>MafaWCF10:Quality</t>
  </si>
  <si>
    <t>MafaWS10:Quality</t>
  </si>
  <si>
    <t>MafaS22:Quality</t>
  </si>
  <si>
    <t>Mareigua.Fanaia.Pagos.PILA:Quality</t>
  </si>
  <si>
    <t>MafaS34:Quality</t>
  </si>
  <si>
    <t>MafaSW27:QUALITY</t>
  </si>
  <si>
    <t>Mareigua.Fanaia.Administradora.Planilla.Entidades:Quality</t>
  </si>
  <si>
    <t>Mareigua.Fanaia.Administradoras.Aplicacion:Quality</t>
  </si>
  <si>
    <t>MafaS23:Quality</t>
  </si>
  <si>
    <t>Mareigua.Fanaia.Administradoras.Entidades:Quality</t>
  </si>
  <si>
    <t>Mareigua.Fanaia.Afiliaciones.Servicio:Quality</t>
  </si>
  <si>
    <t>Mareigua.Fanaia.Cesantias.Consulta.ServicioWeb:Quality</t>
  </si>
  <si>
    <t>Mareigua.Fanaia.ChatBot.Integracion:Quality</t>
  </si>
  <si>
    <t>Mareigua.Fanaia.Contratos.Servicio:Quality</t>
  </si>
  <si>
    <t>Mareigua.Fanaia.Utilidades.Entidades:Quality</t>
  </si>
  <si>
    <t>Mafas49:Quality</t>
  </si>
  <si>
    <t>Mareigua.Fanaia.MediosMagneticos.Entidades:Quality</t>
  </si>
  <si>
    <t>Mareigua.Fanaia.Operadores.OperadoresMafa:Quality</t>
  </si>
  <si>
    <t>Mareigua.Fanaia.ValidadorArchivos:Quality</t>
  </si>
  <si>
    <t>mafaw12</t>
  </si>
  <si>
    <t>MafaWCF06:Quality</t>
  </si>
  <si>
    <t>Mareigua.Fanaia.Pagos.WindowsService:Quality</t>
  </si>
  <si>
    <t>Mareigua.Fanaia.Personas.Independientes.Aplicacion</t>
  </si>
  <si>
    <t>Cesantias.Administradora:Quality</t>
  </si>
  <si>
    <t>Mareigua.Fanaia.Personas.Independientes.Servicio:Quality</t>
  </si>
  <si>
    <t>ael-api-nomina-pila:Quality</t>
  </si>
  <si>
    <t>Mareigua.Transversales.Servicios.Fachada:Quality</t>
  </si>
  <si>
    <t>Notificaciones.Aplicacion:Quality</t>
  </si>
  <si>
    <t>Notificaciones.Servicio.Reenvio:Quality</t>
  </si>
  <si>
    <t>MafaS14:Quality</t>
  </si>
  <si>
    <t>Notificaciones.WebApi:Quality</t>
  </si>
  <si>
    <t>MafaSW40:Quality</t>
  </si>
  <si>
    <t>Pandora-Book</t>
  </si>
  <si>
    <t>Portal.BackendDeL.Consultas.API</t>
  </si>
  <si>
    <t>Portal.BackendDeL.Consultas.API:Quality</t>
  </si>
  <si>
    <t>Mareigua.Fanaia.Personas:Quality</t>
  </si>
  <si>
    <t>Mase05s01:Quality</t>
  </si>
  <si>
    <t>Mareigua.Fanaia.AdministradoraPILA.MaquinaEstados.Entidades:Quality</t>
  </si>
  <si>
    <t>Portal.MS.Files.Masivas.PJ:Quality</t>
  </si>
  <si>
    <t>ValidadorBeneficiariosFSP:Quality</t>
  </si>
  <si>
    <t>Portal.MS.Masivas.PJ:Quality</t>
  </si>
  <si>
    <t>Notificaciones.Entidades:Quality</t>
  </si>
  <si>
    <t>Validador.Masivo.Servicio:Quality</t>
  </si>
  <si>
    <t>Notificaciones.Servicio.Reenvio-QG-SONAR:Quality</t>
  </si>
  <si>
    <t>Reportes.ServicioWeb:Quality</t>
  </si>
  <si>
    <t>MafaS45:Quality</t>
  </si>
  <si>
    <t>VisorConsultaArchivos</t>
  </si>
  <si>
    <t>VisorConsultaArchivos:Quality</t>
  </si>
  <si>
    <t>Parametricas.Aplicacion:Quality</t>
  </si>
  <si>
    <t>Parametricas.Entidades:Quality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</si>
</sst>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30"/>
  <sheetViews>
    <sheetView tabSelected="1" topLeftCell="B1" workbookViewId="0">
      <pane ySplit="1" topLeftCell="B2" activePane="bottomLeft" state="frozen"/>
      <selection pane="bottomLeft" activeCell="B225" sqref="B225"/>
    </sheetView>
  </sheetViews>
  <sheetFormatPr defaultColWidth="8.85546875" defaultRowHeight="14.45"/>
  <cols>
    <col min="1" max="1" width="18.28515625" customWidth="1"/>
    <col min="2" max="2" width="75.7109375" customWidth="1"/>
    <col min="3" max="4" width="12" customWidth="1"/>
    <col min="5" max="7" width="14" customWidth="1"/>
    <col min="8" max="8" width="22.42578125" customWidth="1"/>
    <col min="9" max="9" width="15.7109375" customWidth="1"/>
    <col min="11" max="11" width="22.85546875" customWidth="1"/>
    <col min="12" max="12" width="15.42578125" customWidth="1"/>
  </cols>
  <sheetData>
    <row r="1" spans="1:12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2" t="s">
        <v>12</v>
      </c>
      <c r="B2" s="2" t="s">
        <v>12</v>
      </c>
      <c r="C2" s="3">
        <v>206</v>
      </c>
      <c r="D2" s="4">
        <v>1648</v>
      </c>
      <c r="E2" s="6">
        <v>91.6</v>
      </c>
      <c r="F2" s="6">
        <v>0</v>
      </c>
      <c r="G2" s="5">
        <v>4.3</v>
      </c>
      <c r="H2">
        <f>(C2/D2)*100</f>
        <v>12.5</v>
      </c>
      <c r="I2" t="s">
        <v>13</v>
      </c>
      <c r="J2" t="s">
        <v>14</v>
      </c>
      <c r="K2" t="s">
        <v>15</v>
      </c>
    </row>
    <row r="3" spans="1:12">
      <c r="A3" s="2" t="s">
        <v>16</v>
      </c>
      <c r="B3" s="2" t="s">
        <v>16</v>
      </c>
      <c r="C3" s="3">
        <v>919</v>
      </c>
      <c r="D3" s="4">
        <v>3508</v>
      </c>
      <c r="E3" s="6">
        <v>90.7</v>
      </c>
      <c r="F3" s="6">
        <v>0</v>
      </c>
      <c r="G3" s="6">
        <v>6.4</v>
      </c>
      <c r="H3">
        <f t="shared" ref="H3:H66" si="0">(C3/D3)*100</f>
        <v>26.197263397947552</v>
      </c>
      <c r="I3" t="s">
        <v>13</v>
      </c>
      <c r="J3" t="s">
        <v>14</v>
      </c>
      <c r="K3" t="s">
        <v>15</v>
      </c>
    </row>
    <row r="4" spans="1:12">
      <c r="A4" s="2" t="s">
        <v>17</v>
      </c>
      <c r="B4" s="2" t="s">
        <v>17</v>
      </c>
      <c r="C4" s="3">
        <v>357</v>
      </c>
      <c r="D4" s="4">
        <v>7630</v>
      </c>
      <c r="E4" s="6">
        <v>88.4</v>
      </c>
      <c r="F4" s="6">
        <v>0</v>
      </c>
      <c r="G4" s="5">
        <v>1.5</v>
      </c>
      <c r="H4">
        <f t="shared" si="0"/>
        <v>4.6788990825688073</v>
      </c>
      <c r="I4" t="s">
        <v>13</v>
      </c>
      <c r="J4" t="s">
        <v>14</v>
      </c>
      <c r="K4" t="s">
        <v>15</v>
      </c>
    </row>
    <row r="5" spans="1:12">
      <c r="A5" s="2" t="s">
        <v>18</v>
      </c>
      <c r="B5" s="2" t="s">
        <v>18</v>
      </c>
      <c r="C5" s="3">
        <v>70</v>
      </c>
      <c r="D5" s="4">
        <v>3634</v>
      </c>
      <c r="E5" s="6">
        <v>51.7</v>
      </c>
      <c r="F5" s="6">
        <v>0</v>
      </c>
      <c r="G5" s="5">
        <v>0.4</v>
      </c>
      <c r="H5">
        <f t="shared" si="0"/>
        <v>1.9262520638414968</v>
      </c>
      <c r="I5" t="s">
        <v>13</v>
      </c>
      <c r="J5" t="s">
        <v>14</v>
      </c>
      <c r="K5" t="s">
        <v>19</v>
      </c>
    </row>
    <row r="6" spans="1:12">
      <c r="A6" s="2" t="s">
        <v>20</v>
      </c>
      <c r="B6" s="2" t="s">
        <v>20</v>
      </c>
      <c r="C6" s="3">
        <v>35</v>
      </c>
      <c r="D6" s="4">
        <v>1049</v>
      </c>
      <c r="E6" s="6">
        <v>60.3</v>
      </c>
      <c r="F6" s="6">
        <v>0</v>
      </c>
      <c r="G6" s="5">
        <v>0.7</v>
      </c>
      <c r="H6">
        <f t="shared" si="0"/>
        <v>3.3365109628217349</v>
      </c>
      <c r="I6" t="s">
        <v>13</v>
      </c>
      <c r="J6" t="s">
        <v>14</v>
      </c>
      <c r="K6" t="s">
        <v>19</v>
      </c>
    </row>
    <row r="7" spans="1:12">
      <c r="A7" s="2" t="s">
        <v>21</v>
      </c>
      <c r="B7" s="2" t="s">
        <v>21</v>
      </c>
      <c r="C7" s="3">
        <v>1172</v>
      </c>
      <c r="D7" s="4">
        <v>11161</v>
      </c>
      <c r="E7" s="6">
        <v>87.4</v>
      </c>
      <c r="F7" s="6">
        <v>0</v>
      </c>
      <c r="G7" s="5">
        <v>2.7</v>
      </c>
      <c r="H7">
        <f t="shared" si="0"/>
        <v>10.500851178209839</v>
      </c>
      <c r="I7" t="s">
        <v>13</v>
      </c>
      <c r="J7" t="s">
        <v>14</v>
      </c>
      <c r="K7" t="s">
        <v>15</v>
      </c>
    </row>
    <row r="8" spans="1:12">
      <c r="A8" s="2" t="s">
        <v>22</v>
      </c>
      <c r="B8" s="2" t="s">
        <v>22</v>
      </c>
      <c r="C8" s="3">
        <v>184</v>
      </c>
      <c r="D8" s="4">
        <v>3481</v>
      </c>
      <c r="E8" s="6">
        <v>35</v>
      </c>
      <c r="F8" s="6">
        <v>0</v>
      </c>
      <c r="G8" s="5">
        <v>1.6</v>
      </c>
      <c r="H8">
        <f t="shared" si="0"/>
        <v>5.2858374030451021</v>
      </c>
      <c r="I8" t="s">
        <v>13</v>
      </c>
      <c r="J8" t="s">
        <v>14</v>
      </c>
      <c r="K8" t="s">
        <v>19</v>
      </c>
    </row>
    <row r="9" spans="1:12">
      <c r="A9" s="2" t="s">
        <v>23</v>
      </c>
      <c r="B9" s="2" t="s">
        <v>23</v>
      </c>
      <c r="C9" s="3">
        <v>1171</v>
      </c>
      <c r="D9" s="4">
        <v>10301</v>
      </c>
      <c r="E9" s="6">
        <v>94.4</v>
      </c>
      <c r="F9" s="6">
        <v>0</v>
      </c>
      <c r="G9" s="5">
        <v>2.9</v>
      </c>
      <c r="H9">
        <f t="shared" si="0"/>
        <v>11.367828366178042</v>
      </c>
      <c r="I9" t="s">
        <v>13</v>
      </c>
      <c r="J9" t="s">
        <v>14</v>
      </c>
      <c r="K9" t="s">
        <v>15</v>
      </c>
    </row>
    <row r="10" spans="1:12">
      <c r="A10" s="2" t="s">
        <v>24</v>
      </c>
      <c r="B10" s="2" t="s">
        <v>24</v>
      </c>
      <c r="C10" s="3">
        <v>247</v>
      </c>
      <c r="D10" s="4">
        <v>9998</v>
      </c>
      <c r="E10" s="6">
        <v>93.6</v>
      </c>
      <c r="F10" s="6">
        <v>0</v>
      </c>
      <c r="G10" s="5">
        <v>0.4</v>
      </c>
      <c r="H10">
        <f t="shared" si="0"/>
        <v>2.4704940988197639</v>
      </c>
      <c r="I10" t="s">
        <v>13</v>
      </c>
      <c r="J10" t="s">
        <v>14</v>
      </c>
      <c r="K10" t="s">
        <v>15</v>
      </c>
    </row>
    <row r="11" spans="1:12">
      <c r="A11" s="2" t="s">
        <v>25</v>
      </c>
      <c r="B11" s="2" t="s">
        <v>25</v>
      </c>
      <c r="C11" s="3">
        <v>77</v>
      </c>
      <c r="D11" s="4">
        <v>965</v>
      </c>
      <c r="E11" s="6">
        <v>36.700000000000003</v>
      </c>
      <c r="F11" s="6">
        <v>0</v>
      </c>
      <c r="G11" s="5">
        <v>1.8</v>
      </c>
      <c r="H11">
        <f t="shared" si="0"/>
        <v>7.9792746113989637</v>
      </c>
      <c r="I11" t="s">
        <v>13</v>
      </c>
      <c r="J11" t="s">
        <v>14</v>
      </c>
      <c r="K11" t="s">
        <v>19</v>
      </c>
    </row>
    <row r="12" spans="1:12">
      <c r="A12" s="2" t="s">
        <v>26</v>
      </c>
      <c r="B12" s="10" t="s">
        <v>26</v>
      </c>
      <c r="C12" s="3">
        <v>188</v>
      </c>
      <c r="D12" s="4">
        <v>2201</v>
      </c>
      <c r="E12" s="6">
        <v>33.799999999999997</v>
      </c>
      <c r="F12" s="5">
        <v>72.8</v>
      </c>
      <c r="G12" s="5">
        <v>2.4</v>
      </c>
      <c r="H12">
        <f t="shared" si="0"/>
        <v>8.54157201272149</v>
      </c>
      <c r="I12" t="s">
        <v>27</v>
      </c>
      <c r="J12" t="s">
        <v>28</v>
      </c>
      <c r="K12" t="s">
        <v>15</v>
      </c>
    </row>
    <row r="13" spans="1:12">
      <c r="A13" s="2" t="s">
        <v>29</v>
      </c>
      <c r="B13" s="2" t="s">
        <v>29</v>
      </c>
      <c r="C13" s="3">
        <v>1060</v>
      </c>
      <c r="D13" s="4">
        <v>4542</v>
      </c>
      <c r="E13" s="6">
        <v>87.4</v>
      </c>
      <c r="F13" s="6">
        <v>0</v>
      </c>
      <c r="G13" s="6">
        <v>5.6</v>
      </c>
      <c r="H13">
        <f t="shared" si="0"/>
        <v>23.337736679876706</v>
      </c>
      <c r="I13" t="s">
        <v>13</v>
      </c>
      <c r="J13" t="s">
        <v>14</v>
      </c>
      <c r="K13" t="s">
        <v>15</v>
      </c>
    </row>
    <row r="14" spans="1:12">
      <c r="A14" s="2" t="s">
        <v>30</v>
      </c>
      <c r="B14" s="2" t="s">
        <v>30</v>
      </c>
      <c r="C14" s="3">
        <v>115</v>
      </c>
      <c r="D14" s="4">
        <v>2632</v>
      </c>
      <c r="E14" s="6">
        <v>43.2</v>
      </c>
      <c r="F14" s="6">
        <v>0</v>
      </c>
      <c r="G14" s="5">
        <v>1.4</v>
      </c>
      <c r="H14">
        <f t="shared" si="0"/>
        <v>4.3693009118541033</v>
      </c>
      <c r="I14" t="s">
        <v>13</v>
      </c>
      <c r="J14" t="s">
        <v>14</v>
      </c>
      <c r="K14" t="s">
        <v>19</v>
      </c>
    </row>
    <row r="15" spans="1:12">
      <c r="A15" s="2" t="s">
        <v>31</v>
      </c>
      <c r="B15" s="2" t="s">
        <v>31</v>
      </c>
      <c r="C15" s="3">
        <v>126</v>
      </c>
      <c r="D15" s="4">
        <v>2006</v>
      </c>
      <c r="E15" s="6">
        <v>96.3</v>
      </c>
      <c r="F15" s="6">
        <v>0</v>
      </c>
      <c r="G15" s="5">
        <v>2.1</v>
      </c>
      <c r="H15">
        <f t="shared" si="0"/>
        <v>6.281156530408774</v>
      </c>
      <c r="I15" t="s">
        <v>13</v>
      </c>
      <c r="J15" t="s">
        <v>14</v>
      </c>
      <c r="K15" t="s">
        <v>15</v>
      </c>
    </row>
    <row r="16" spans="1:12">
      <c r="A16" s="2" t="s">
        <v>32</v>
      </c>
      <c r="B16" s="10" t="s">
        <v>32</v>
      </c>
      <c r="C16" s="3">
        <v>0</v>
      </c>
      <c r="D16" s="4">
        <v>1834</v>
      </c>
      <c r="E16" s="6">
        <v>21.4</v>
      </c>
      <c r="F16" s="5">
        <v>69.5</v>
      </c>
      <c r="G16" s="5">
        <v>0</v>
      </c>
      <c r="H16">
        <f t="shared" si="0"/>
        <v>0</v>
      </c>
      <c r="I16" t="s">
        <v>27</v>
      </c>
      <c r="J16" t="s">
        <v>28</v>
      </c>
      <c r="K16" t="s">
        <v>15</v>
      </c>
    </row>
    <row r="17" spans="1:11">
      <c r="A17" s="2" t="s">
        <v>33</v>
      </c>
      <c r="B17" s="2" t="s">
        <v>33</v>
      </c>
      <c r="C17" s="3">
        <v>352</v>
      </c>
      <c r="D17" s="4">
        <v>8002</v>
      </c>
      <c r="E17" s="6">
        <v>82.5</v>
      </c>
      <c r="F17" s="6">
        <v>0</v>
      </c>
      <c r="G17" s="5">
        <v>1.1000000000000001</v>
      </c>
      <c r="H17">
        <f t="shared" si="0"/>
        <v>4.3989002749312673</v>
      </c>
      <c r="I17" t="s">
        <v>13</v>
      </c>
      <c r="J17" t="s">
        <v>14</v>
      </c>
      <c r="K17" t="s">
        <v>15</v>
      </c>
    </row>
    <row r="18" spans="1:11">
      <c r="A18" s="2" t="s">
        <v>34</v>
      </c>
      <c r="B18" s="10" t="s">
        <v>34</v>
      </c>
      <c r="C18" s="3">
        <v>35</v>
      </c>
      <c r="D18" s="4">
        <v>1328</v>
      </c>
      <c r="E18" s="6">
        <v>30</v>
      </c>
      <c r="F18" s="6">
        <v>42.6</v>
      </c>
      <c r="G18" s="5">
        <v>0.5</v>
      </c>
      <c r="H18">
        <f t="shared" si="0"/>
        <v>2.6355421686746991</v>
      </c>
      <c r="I18" t="s">
        <v>27</v>
      </c>
      <c r="J18" t="s">
        <v>28</v>
      </c>
      <c r="K18" t="s">
        <v>19</v>
      </c>
    </row>
    <row r="19" spans="1:11">
      <c r="A19" s="2" t="s">
        <v>35</v>
      </c>
      <c r="B19" s="2" t="s">
        <v>35</v>
      </c>
      <c r="C19" s="3">
        <v>16</v>
      </c>
      <c r="D19" s="4">
        <v>594</v>
      </c>
      <c r="E19" s="6">
        <v>67.900000000000006</v>
      </c>
      <c r="F19" s="6">
        <v>0</v>
      </c>
      <c r="G19" s="5">
        <v>1</v>
      </c>
      <c r="H19">
        <f t="shared" si="0"/>
        <v>2.6936026936026933</v>
      </c>
      <c r="I19" t="s">
        <v>13</v>
      </c>
      <c r="J19" t="s">
        <v>14</v>
      </c>
      <c r="K19" t="s">
        <v>15</v>
      </c>
    </row>
    <row r="20" spans="1:11">
      <c r="A20" s="2" t="s">
        <v>36</v>
      </c>
      <c r="B20" s="2" t="s">
        <v>36</v>
      </c>
      <c r="C20" s="3">
        <v>934</v>
      </c>
      <c r="D20" s="4">
        <v>15587</v>
      </c>
      <c r="E20" s="6">
        <v>74.900000000000006</v>
      </c>
      <c r="F20" s="6">
        <v>0</v>
      </c>
      <c r="G20" s="5">
        <v>0.8</v>
      </c>
      <c r="H20">
        <f t="shared" si="0"/>
        <v>5.9921729646500292</v>
      </c>
      <c r="I20" t="s">
        <v>13</v>
      </c>
      <c r="J20" t="s">
        <v>14</v>
      </c>
      <c r="K20" t="s">
        <v>15</v>
      </c>
    </row>
    <row r="21" spans="1:11">
      <c r="A21" s="2" t="s">
        <v>37</v>
      </c>
      <c r="B21" s="2" t="s">
        <v>37</v>
      </c>
      <c r="C21" s="3">
        <v>445</v>
      </c>
      <c r="D21" s="4">
        <v>8276</v>
      </c>
      <c r="E21" s="6">
        <v>87</v>
      </c>
      <c r="F21" s="6">
        <v>0</v>
      </c>
      <c r="G21" s="5">
        <v>1.3</v>
      </c>
      <c r="H21">
        <f t="shared" si="0"/>
        <v>5.3769937167713877</v>
      </c>
      <c r="I21" t="s">
        <v>13</v>
      </c>
      <c r="J21" t="s">
        <v>14</v>
      </c>
      <c r="K21" t="s">
        <v>15</v>
      </c>
    </row>
    <row r="22" spans="1:11">
      <c r="A22" s="2" t="s">
        <v>38</v>
      </c>
      <c r="B22" s="10" t="s">
        <v>38</v>
      </c>
      <c r="C22" s="3">
        <v>6</v>
      </c>
      <c r="D22" s="4">
        <v>249</v>
      </c>
      <c r="E22" s="6">
        <v>52.1</v>
      </c>
      <c r="F22" s="5">
        <v>65.599999999999994</v>
      </c>
      <c r="G22" s="5">
        <v>1.1000000000000001</v>
      </c>
      <c r="H22">
        <f t="shared" si="0"/>
        <v>2.4096385542168677</v>
      </c>
      <c r="I22" t="s">
        <v>27</v>
      </c>
      <c r="J22" t="s">
        <v>28</v>
      </c>
      <c r="K22" t="s">
        <v>15</v>
      </c>
    </row>
    <row r="23" spans="1:11">
      <c r="A23" s="2" t="s">
        <v>39</v>
      </c>
      <c r="B23" s="2" t="s">
        <v>39</v>
      </c>
      <c r="C23" s="3">
        <v>49</v>
      </c>
      <c r="D23" s="4">
        <v>1763</v>
      </c>
      <c r="E23" s="6">
        <v>21</v>
      </c>
      <c r="F23" s="6">
        <v>0.6</v>
      </c>
      <c r="G23" s="5">
        <v>0.7</v>
      </c>
      <c r="H23">
        <f t="shared" si="0"/>
        <v>2.7793533749290984</v>
      </c>
      <c r="I23" t="s">
        <v>13</v>
      </c>
      <c r="J23" t="s">
        <v>14</v>
      </c>
      <c r="K23" t="s">
        <v>19</v>
      </c>
    </row>
    <row r="24" spans="1:11">
      <c r="A24" s="2" t="s">
        <v>40</v>
      </c>
      <c r="B24" s="2" t="s">
        <v>40</v>
      </c>
      <c r="C24" s="3">
        <v>265</v>
      </c>
      <c r="D24" s="4">
        <v>11055</v>
      </c>
      <c r="E24" s="6">
        <v>87.1</v>
      </c>
      <c r="F24" s="6">
        <v>0</v>
      </c>
      <c r="G24" s="5">
        <v>0.4</v>
      </c>
      <c r="H24">
        <f t="shared" si="0"/>
        <v>2.3971053821800088</v>
      </c>
      <c r="I24" t="s">
        <v>13</v>
      </c>
      <c r="J24" t="s">
        <v>14</v>
      </c>
      <c r="K24" t="s">
        <v>15</v>
      </c>
    </row>
    <row r="25" spans="1:11">
      <c r="A25" s="2" t="s">
        <v>41</v>
      </c>
      <c r="B25" s="2" t="s">
        <v>41</v>
      </c>
      <c r="C25" s="3">
        <v>11</v>
      </c>
      <c r="D25" s="4">
        <v>307</v>
      </c>
      <c r="E25" s="6">
        <v>22.1</v>
      </c>
      <c r="F25" s="6">
        <v>0</v>
      </c>
      <c r="G25" s="5">
        <v>0.6</v>
      </c>
      <c r="H25">
        <f t="shared" si="0"/>
        <v>3.5830618892508146</v>
      </c>
      <c r="I25" t="s">
        <v>13</v>
      </c>
      <c r="J25" t="s">
        <v>14</v>
      </c>
      <c r="K25" t="s">
        <v>19</v>
      </c>
    </row>
    <row r="26" spans="1:11">
      <c r="A26" s="2" t="s">
        <v>42</v>
      </c>
      <c r="B26" s="2" t="s">
        <v>42</v>
      </c>
      <c r="C26" s="3">
        <v>9</v>
      </c>
      <c r="D26" s="4">
        <v>1634</v>
      </c>
      <c r="E26" s="6">
        <v>70.900000000000006</v>
      </c>
      <c r="F26" s="6">
        <v>7.4</v>
      </c>
      <c r="G26" s="5">
        <v>0.1</v>
      </c>
      <c r="H26">
        <f t="shared" si="0"/>
        <v>0.55079559363525099</v>
      </c>
      <c r="I26" t="s">
        <v>13</v>
      </c>
      <c r="J26" t="s">
        <v>14</v>
      </c>
      <c r="K26" t="s">
        <v>15</v>
      </c>
    </row>
    <row r="27" spans="1:11">
      <c r="A27" s="2" t="s">
        <v>43</v>
      </c>
      <c r="B27" s="10" t="s">
        <v>43</v>
      </c>
      <c r="C27" s="3">
        <v>1</v>
      </c>
      <c r="D27" s="4">
        <v>228</v>
      </c>
      <c r="E27" s="6">
        <v>56.4</v>
      </c>
      <c r="F27" s="3"/>
      <c r="G27" s="5">
        <v>0.1</v>
      </c>
      <c r="H27">
        <f t="shared" si="0"/>
        <v>0.43859649122807015</v>
      </c>
      <c r="I27" t="s">
        <v>27</v>
      </c>
      <c r="J27" t="s">
        <v>28</v>
      </c>
      <c r="K27" t="s">
        <v>15</v>
      </c>
    </row>
    <row r="28" spans="1:11">
      <c r="A28" s="2" t="s">
        <v>44</v>
      </c>
      <c r="B28" s="2" t="s">
        <v>44</v>
      </c>
      <c r="C28" s="3">
        <v>28</v>
      </c>
      <c r="D28" s="4">
        <v>1634</v>
      </c>
      <c r="E28" s="6">
        <v>43.7</v>
      </c>
      <c r="F28" s="6">
        <v>0</v>
      </c>
      <c r="G28" s="5">
        <v>0.3</v>
      </c>
      <c r="H28">
        <f t="shared" si="0"/>
        <v>1.7135862913096693</v>
      </c>
      <c r="I28" t="s">
        <v>13</v>
      </c>
      <c r="J28" t="s">
        <v>14</v>
      </c>
      <c r="K28" t="s">
        <v>19</v>
      </c>
    </row>
    <row r="29" spans="1:11">
      <c r="A29" s="2" t="s">
        <v>45</v>
      </c>
      <c r="B29" s="2" t="s">
        <v>45</v>
      </c>
      <c r="C29" s="3">
        <v>4</v>
      </c>
      <c r="D29" s="4">
        <v>322</v>
      </c>
      <c r="E29" s="6">
        <v>35.299999999999997</v>
      </c>
      <c r="F29" s="6">
        <v>0</v>
      </c>
      <c r="G29" s="5">
        <v>0.3</v>
      </c>
      <c r="H29">
        <f t="shared" si="0"/>
        <v>1.2422360248447204</v>
      </c>
      <c r="I29" t="s">
        <v>13</v>
      </c>
      <c r="J29" t="s">
        <v>14</v>
      </c>
      <c r="K29" t="s">
        <v>19</v>
      </c>
    </row>
    <row r="30" spans="1:11">
      <c r="A30" s="2" t="s">
        <v>46</v>
      </c>
      <c r="B30" s="2" t="s">
        <v>46</v>
      </c>
      <c r="C30" s="3">
        <v>12953</v>
      </c>
      <c r="D30" s="4">
        <v>233210</v>
      </c>
      <c r="E30" s="6">
        <v>22.8</v>
      </c>
      <c r="F30" s="6">
        <v>3</v>
      </c>
      <c r="G30" s="5">
        <v>1.1000000000000001</v>
      </c>
      <c r="H30">
        <f t="shared" si="0"/>
        <v>5.554221517087603</v>
      </c>
      <c r="I30" t="s">
        <v>13</v>
      </c>
      <c r="J30" t="s">
        <v>14</v>
      </c>
      <c r="K30" t="s">
        <v>19</v>
      </c>
    </row>
    <row r="31" spans="1:11">
      <c r="A31" s="2" t="s">
        <v>47</v>
      </c>
      <c r="B31" s="2" t="s">
        <v>47</v>
      </c>
      <c r="C31" s="3">
        <v>302</v>
      </c>
      <c r="D31" s="4">
        <v>6769</v>
      </c>
      <c r="E31" s="6">
        <v>83</v>
      </c>
      <c r="F31" s="6">
        <v>0</v>
      </c>
      <c r="G31" s="5">
        <v>1.1000000000000001</v>
      </c>
      <c r="H31">
        <f t="shared" si="0"/>
        <v>4.4615157334909146</v>
      </c>
      <c r="I31" t="s">
        <v>13</v>
      </c>
      <c r="J31" t="s">
        <v>14</v>
      </c>
      <c r="K31" t="s">
        <v>15</v>
      </c>
    </row>
    <row r="32" spans="1:11">
      <c r="A32" s="2" t="s">
        <v>48</v>
      </c>
      <c r="B32" s="2" t="s">
        <v>48</v>
      </c>
      <c r="C32" s="3">
        <v>2518</v>
      </c>
      <c r="D32" s="4">
        <v>19101</v>
      </c>
      <c r="E32" s="6">
        <v>80</v>
      </c>
      <c r="F32" s="6">
        <v>2.9</v>
      </c>
      <c r="G32" s="5">
        <v>3.1</v>
      </c>
      <c r="H32">
        <f t="shared" si="0"/>
        <v>13.182555887126329</v>
      </c>
      <c r="I32" t="s">
        <v>13</v>
      </c>
      <c r="J32" t="s">
        <v>14</v>
      </c>
      <c r="K32" t="s">
        <v>15</v>
      </c>
    </row>
    <row r="33" spans="1:12">
      <c r="A33" s="2" t="s">
        <v>49</v>
      </c>
      <c r="B33" s="10" t="s">
        <v>49</v>
      </c>
      <c r="C33" s="3">
        <v>1</v>
      </c>
      <c r="D33" s="4">
        <v>66</v>
      </c>
      <c r="E33" s="6">
        <v>21.2</v>
      </c>
      <c r="F33" s="3"/>
      <c r="G33" s="5">
        <v>0.5</v>
      </c>
      <c r="H33">
        <f t="shared" si="0"/>
        <v>1.5151515151515151</v>
      </c>
      <c r="I33" t="s">
        <v>27</v>
      </c>
      <c r="J33" t="s">
        <v>28</v>
      </c>
      <c r="K33" t="s">
        <v>15</v>
      </c>
    </row>
    <row r="34" spans="1:12">
      <c r="A34" s="2" t="s">
        <v>50</v>
      </c>
      <c r="B34" s="10" t="s">
        <v>50</v>
      </c>
      <c r="C34" s="3">
        <v>0</v>
      </c>
      <c r="D34" s="4">
        <v>361</v>
      </c>
      <c r="E34" s="6">
        <v>24.6</v>
      </c>
      <c r="F34" s="5">
        <v>76.7</v>
      </c>
      <c r="G34" s="5">
        <v>0</v>
      </c>
      <c r="H34">
        <f t="shared" si="0"/>
        <v>0</v>
      </c>
      <c r="I34" t="s">
        <v>27</v>
      </c>
      <c r="J34" t="s">
        <v>28</v>
      </c>
      <c r="K34" t="s">
        <v>15</v>
      </c>
    </row>
    <row r="35" spans="1:12">
      <c r="A35" s="2" t="s">
        <v>51</v>
      </c>
      <c r="B35" s="10" t="s">
        <v>51</v>
      </c>
      <c r="C35" s="3">
        <v>3</v>
      </c>
      <c r="D35" s="4">
        <v>825</v>
      </c>
      <c r="E35" s="6">
        <v>22.8</v>
      </c>
      <c r="F35" s="5">
        <v>74.8</v>
      </c>
      <c r="G35" s="5">
        <v>0</v>
      </c>
      <c r="H35">
        <f t="shared" si="0"/>
        <v>0.36363636363636365</v>
      </c>
      <c r="I35" t="s">
        <v>27</v>
      </c>
      <c r="J35" t="s">
        <v>28</v>
      </c>
      <c r="K35" t="s">
        <v>15</v>
      </c>
    </row>
    <row r="36" spans="1:12">
      <c r="A36" s="2" t="s">
        <v>52</v>
      </c>
      <c r="B36" s="10" t="s">
        <v>52</v>
      </c>
      <c r="C36" s="3">
        <v>0</v>
      </c>
      <c r="D36" s="4">
        <v>925</v>
      </c>
      <c r="E36" s="6">
        <v>26.5</v>
      </c>
      <c r="F36" s="5">
        <v>76.900000000000006</v>
      </c>
      <c r="G36" s="5">
        <v>0</v>
      </c>
      <c r="H36">
        <f t="shared" si="0"/>
        <v>0</v>
      </c>
      <c r="I36" t="s">
        <v>27</v>
      </c>
      <c r="J36" t="s">
        <v>28</v>
      </c>
      <c r="K36" t="s">
        <v>15</v>
      </c>
    </row>
    <row r="37" spans="1:12">
      <c r="A37" s="2" t="s">
        <v>53</v>
      </c>
      <c r="B37" s="2" t="s">
        <v>53</v>
      </c>
      <c r="C37" s="3">
        <v>339</v>
      </c>
      <c r="D37" s="4">
        <v>7575</v>
      </c>
      <c r="E37" s="6">
        <v>84.3</v>
      </c>
      <c r="F37" s="6">
        <v>0</v>
      </c>
      <c r="G37" s="5">
        <v>1.1000000000000001</v>
      </c>
      <c r="H37">
        <f t="shared" si="0"/>
        <v>4.4752475247524748</v>
      </c>
      <c r="I37" t="s">
        <v>13</v>
      </c>
      <c r="J37" t="s">
        <v>14</v>
      </c>
      <c r="K37" t="s">
        <v>15</v>
      </c>
    </row>
    <row r="38" spans="1:12">
      <c r="A38" s="2" t="s">
        <v>54</v>
      </c>
      <c r="B38" s="2" t="s">
        <v>54</v>
      </c>
      <c r="C38" s="3">
        <v>742</v>
      </c>
      <c r="D38" s="4">
        <v>93884</v>
      </c>
      <c r="E38" s="6">
        <v>68.599999999999994</v>
      </c>
      <c r="F38" s="6">
        <v>0</v>
      </c>
      <c r="G38" s="5">
        <v>0.1</v>
      </c>
      <c r="H38">
        <f t="shared" si="0"/>
        <v>0.79033701163137482</v>
      </c>
      <c r="I38" t="s">
        <v>13</v>
      </c>
      <c r="J38" t="s">
        <v>14</v>
      </c>
      <c r="K38" t="s">
        <v>15</v>
      </c>
      <c r="L38" t="s">
        <v>55</v>
      </c>
    </row>
    <row r="39" spans="1:12">
      <c r="A39" s="2" t="s">
        <v>56</v>
      </c>
      <c r="B39" s="10" t="s">
        <v>56</v>
      </c>
      <c r="C39" s="3">
        <v>3</v>
      </c>
      <c r="D39" s="4">
        <v>1027</v>
      </c>
      <c r="E39" s="6">
        <v>24.6</v>
      </c>
      <c r="F39" s="5">
        <v>72.5</v>
      </c>
      <c r="G39" s="5">
        <v>0</v>
      </c>
      <c r="H39">
        <f t="shared" si="0"/>
        <v>0.29211295034079843</v>
      </c>
      <c r="I39" t="s">
        <v>27</v>
      </c>
      <c r="J39" t="s">
        <v>28</v>
      </c>
      <c r="K39" t="s">
        <v>15</v>
      </c>
    </row>
    <row r="40" spans="1:12">
      <c r="A40" s="2" t="s">
        <v>57</v>
      </c>
      <c r="B40" s="2" t="s">
        <v>57</v>
      </c>
      <c r="C40" s="3">
        <v>921</v>
      </c>
      <c r="D40" s="4">
        <v>3580</v>
      </c>
      <c r="E40" s="6">
        <v>85.2</v>
      </c>
      <c r="F40" s="6">
        <v>0</v>
      </c>
      <c r="G40" s="6">
        <v>6.2</v>
      </c>
      <c r="H40">
        <f t="shared" si="0"/>
        <v>25.726256983240226</v>
      </c>
      <c r="I40" t="s">
        <v>13</v>
      </c>
      <c r="J40" t="s">
        <v>14</v>
      </c>
      <c r="K40" t="s">
        <v>15</v>
      </c>
    </row>
    <row r="41" spans="1:12">
      <c r="A41" s="2" t="s">
        <v>58</v>
      </c>
      <c r="B41" s="2" t="s">
        <v>58</v>
      </c>
      <c r="C41" s="3">
        <v>32</v>
      </c>
      <c r="D41" s="4">
        <v>581</v>
      </c>
      <c r="E41" s="6">
        <v>52.8</v>
      </c>
      <c r="F41" s="6">
        <v>0</v>
      </c>
      <c r="G41" s="5">
        <v>0.7</v>
      </c>
      <c r="H41">
        <f t="shared" si="0"/>
        <v>5.507745266781412</v>
      </c>
      <c r="I41" t="s">
        <v>13</v>
      </c>
      <c r="J41" t="s">
        <v>14</v>
      </c>
      <c r="K41" t="s">
        <v>19</v>
      </c>
    </row>
    <row r="42" spans="1:12">
      <c r="A42" s="2" t="s">
        <v>59</v>
      </c>
      <c r="B42" s="2" t="s">
        <v>59</v>
      </c>
      <c r="C42" s="3">
        <v>16</v>
      </c>
      <c r="D42" s="4">
        <v>526</v>
      </c>
      <c r="E42" s="6">
        <v>75.400000000000006</v>
      </c>
      <c r="F42" s="6">
        <v>0</v>
      </c>
      <c r="G42" s="5">
        <v>1.1000000000000001</v>
      </c>
      <c r="H42">
        <f t="shared" si="0"/>
        <v>3.041825095057034</v>
      </c>
      <c r="I42" t="s">
        <v>13</v>
      </c>
      <c r="J42" t="s">
        <v>14</v>
      </c>
      <c r="K42" t="s">
        <v>15</v>
      </c>
    </row>
    <row r="43" spans="1:12">
      <c r="A43" s="2" t="s">
        <v>60</v>
      </c>
      <c r="B43" s="2" t="s">
        <v>60</v>
      </c>
      <c r="C43" s="3">
        <v>38</v>
      </c>
      <c r="D43" s="4">
        <v>760</v>
      </c>
      <c r="E43" s="6">
        <v>55.2</v>
      </c>
      <c r="F43" s="6">
        <v>0</v>
      </c>
      <c r="G43" s="5">
        <v>1</v>
      </c>
      <c r="H43">
        <f t="shared" si="0"/>
        <v>5</v>
      </c>
      <c r="I43" t="s">
        <v>13</v>
      </c>
      <c r="J43" t="s">
        <v>14</v>
      </c>
      <c r="K43" t="s">
        <v>19</v>
      </c>
    </row>
    <row r="44" spans="1:12">
      <c r="A44" s="2" t="s">
        <v>61</v>
      </c>
      <c r="B44" s="2" t="s">
        <v>61</v>
      </c>
      <c r="C44" s="3">
        <v>297</v>
      </c>
      <c r="D44" s="4">
        <v>11752</v>
      </c>
      <c r="E44" s="6">
        <v>27.6</v>
      </c>
      <c r="F44" s="6">
        <v>0</v>
      </c>
      <c r="G44" s="5">
        <v>0.4</v>
      </c>
      <c r="H44">
        <f t="shared" si="0"/>
        <v>2.5272294077603812</v>
      </c>
      <c r="I44" t="s">
        <v>13</v>
      </c>
      <c r="J44" t="s">
        <v>14</v>
      </c>
      <c r="K44" t="s">
        <v>19</v>
      </c>
    </row>
    <row r="45" spans="1:12">
      <c r="A45" s="2" t="s">
        <v>62</v>
      </c>
      <c r="B45" s="2" t="s">
        <v>62</v>
      </c>
      <c r="C45" s="3">
        <v>1512</v>
      </c>
      <c r="D45" s="4">
        <v>31270</v>
      </c>
      <c r="E45" s="6">
        <v>23.6</v>
      </c>
      <c r="F45" s="6">
        <v>0</v>
      </c>
      <c r="G45" s="5">
        <v>0.9</v>
      </c>
      <c r="H45">
        <f t="shared" si="0"/>
        <v>4.8353054045410939</v>
      </c>
      <c r="I45" t="s">
        <v>13</v>
      </c>
      <c r="J45" t="s">
        <v>14</v>
      </c>
      <c r="K45" t="s">
        <v>19</v>
      </c>
    </row>
    <row r="46" spans="1:12">
      <c r="A46" s="2" t="s">
        <v>63</v>
      </c>
      <c r="B46" s="10" t="s">
        <v>63</v>
      </c>
      <c r="C46" s="3">
        <v>2</v>
      </c>
      <c r="D46" s="4">
        <v>618</v>
      </c>
      <c r="E46" s="6">
        <v>29.5</v>
      </c>
      <c r="F46" s="5">
        <v>80.3</v>
      </c>
      <c r="G46" s="5">
        <v>0</v>
      </c>
      <c r="H46">
        <f t="shared" si="0"/>
        <v>0.3236245954692557</v>
      </c>
      <c r="I46" t="s">
        <v>27</v>
      </c>
      <c r="J46" t="s">
        <v>28</v>
      </c>
      <c r="K46" t="s">
        <v>15</v>
      </c>
    </row>
    <row r="47" spans="1:12">
      <c r="A47" s="2" t="s">
        <v>64</v>
      </c>
      <c r="B47" s="2" t="s">
        <v>64</v>
      </c>
      <c r="C47" s="3">
        <v>2</v>
      </c>
      <c r="D47" s="4">
        <v>483</v>
      </c>
      <c r="E47" s="6">
        <v>38.299999999999997</v>
      </c>
      <c r="F47" s="6">
        <v>0</v>
      </c>
      <c r="G47" s="5">
        <v>0</v>
      </c>
      <c r="H47">
        <f t="shared" si="0"/>
        <v>0.41407867494824019</v>
      </c>
      <c r="I47" t="s">
        <v>13</v>
      </c>
      <c r="J47" t="s">
        <v>14</v>
      </c>
      <c r="K47" t="s">
        <v>19</v>
      </c>
    </row>
    <row r="48" spans="1:12">
      <c r="A48" s="2" t="s">
        <v>65</v>
      </c>
      <c r="B48" s="2" t="s">
        <v>65</v>
      </c>
      <c r="C48" s="3">
        <v>35</v>
      </c>
      <c r="D48" s="4">
        <v>702</v>
      </c>
      <c r="E48" s="6">
        <v>58.3</v>
      </c>
      <c r="F48" s="6">
        <v>0</v>
      </c>
      <c r="G48" s="5">
        <v>1</v>
      </c>
      <c r="H48">
        <f t="shared" si="0"/>
        <v>4.9857549857549861</v>
      </c>
      <c r="I48" t="s">
        <v>13</v>
      </c>
      <c r="J48" t="s">
        <v>14</v>
      </c>
      <c r="K48" t="s">
        <v>19</v>
      </c>
    </row>
    <row r="49" spans="1:11">
      <c r="A49" s="2" t="s">
        <v>66</v>
      </c>
      <c r="B49" s="2" t="s">
        <v>66</v>
      </c>
      <c r="C49" s="3">
        <v>1181</v>
      </c>
      <c r="D49" s="4">
        <v>15639</v>
      </c>
      <c r="E49" s="6">
        <v>87.3</v>
      </c>
      <c r="F49" s="6">
        <v>0</v>
      </c>
      <c r="G49" s="5">
        <v>1.6</v>
      </c>
      <c r="H49">
        <f t="shared" si="0"/>
        <v>7.5516337361723886</v>
      </c>
      <c r="I49" t="s">
        <v>13</v>
      </c>
      <c r="J49" t="s">
        <v>14</v>
      </c>
      <c r="K49" t="s">
        <v>15</v>
      </c>
    </row>
    <row r="50" spans="1:11">
      <c r="A50" s="2" t="s">
        <v>67</v>
      </c>
      <c r="B50" s="2" t="s">
        <v>67</v>
      </c>
      <c r="C50" s="3">
        <v>49</v>
      </c>
      <c r="D50" s="4">
        <v>1134</v>
      </c>
      <c r="E50" s="6">
        <v>83.3</v>
      </c>
      <c r="F50" s="6">
        <v>0</v>
      </c>
      <c r="G50" s="5">
        <v>1</v>
      </c>
      <c r="H50">
        <f t="shared" si="0"/>
        <v>4.3209876543209873</v>
      </c>
      <c r="I50" t="s">
        <v>13</v>
      </c>
      <c r="J50" t="s">
        <v>14</v>
      </c>
      <c r="K50" t="s">
        <v>15</v>
      </c>
    </row>
    <row r="51" spans="1:11">
      <c r="A51" s="2" t="s">
        <v>68</v>
      </c>
      <c r="B51" s="2" t="s">
        <v>68</v>
      </c>
      <c r="C51" s="3">
        <v>175</v>
      </c>
      <c r="D51" s="4">
        <v>4968</v>
      </c>
      <c r="E51" s="6">
        <v>73.3</v>
      </c>
      <c r="F51" s="6">
        <v>16.2</v>
      </c>
      <c r="G51" s="5">
        <v>1</v>
      </c>
      <c r="H51">
        <f t="shared" si="0"/>
        <v>3.5225442834138483</v>
      </c>
      <c r="I51" t="s">
        <v>13</v>
      </c>
      <c r="J51" t="s">
        <v>14</v>
      </c>
      <c r="K51" t="s">
        <v>15</v>
      </c>
    </row>
    <row r="52" spans="1:11">
      <c r="A52" s="2" t="s">
        <v>69</v>
      </c>
      <c r="B52" s="2" t="s">
        <v>69</v>
      </c>
      <c r="C52" s="3">
        <v>65</v>
      </c>
      <c r="D52" s="4">
        <v>903</v>
      </c>
      <c r="E52" s="6">
        <v>57.2</v>
      </c>
      <c r="F52" s="6">
        <v>0</v>
      </c>
      <c r="G52" s="5">
        <v>2</v>
      </c>
      <c r="H52">
        <f t="shared" si="0"/>
        <v>7.1982281284606859</v>
      </c>
      <c r="I52" t="s">
        <v>13</v>
      </c>
      <c r="J52" t="s">
        <v>14</v>
      </c>
      <c r="K52" t="s">
        <v>19</v>
      </c>
    </row>
    <row r="53" spans="1:11">
      <c r="A53" s="2" t="s">
        <v>70</v>
      </c>
      <c r="B53" s="10" t="s">
        <v>70</v>
      </c>
      <c r="C53" s="3">
        <v>8</v>
      </c>
      <c r="D53" s="4">
        <v>5241</v>
      </c>
      <c r="E53" s="6">
        <v>20.7</v>
      </c>
      <c r="F53" s="5">
        <v>50.7</v>
      </c>
      <c r="G53" s="5">
        <v>0</v>
      </c>
      <c r="H53">
        <f t="shared" si="0"/>
        <v>0.15264262545315779</v>
      </c>
      <c r="I53" t="s">
        <v>27</v>
      </c>
      <c r="J53" t="s">
        <v>28</v>
      </c>
      <c r="K53" t="s">
        <v>15</v>
      </c>
    </row>
    <row r="54" spans="1:11">
      <c r="A54" s="2" t="s">
        <v>71</v>
      </c>
      <c r="B54" s="2" t="s">
        <v>71</v>
      </c>
      <c r="C54" s="3">
        <v>230</v>
      </c>
      <c r="D54" s="4">
        <v>5612</v>
      </c>
      <c r="E54" s="6">
        <v>57.8</v>
      </c>
      <c r="F54" s="6">
        <v>17.600000000000001</v>
      </c>
      <c r="G54" s="5">
        <v>1</v>
      </c>
      <c r="H54">
        <f t="shared" si="0"/>
        <v>4.0983606557377046</v>
      </c>
      <c r="I54" t="s">
        <v>13</v>
      </c>
      <c r="J54" t="s">
        <v>14</v>
      </c>
      <c r="K54" t="s">
        <v>19</v>
      </c>
    </row>
    <row r="55" spans="1:11">
      <c r="A55" s="2" t="s">
        <v>72</v>
      </c>
      <c r="B55" s="2" t="s">
        <v>72</v>
      </c>
      <c r="C55" s="3">
        <v>118</v>
      </c>
      <c r="D55" s="4">
        <v>2128</v>
      </c>
      <c r="E55" s="6">
        <v>47.8</v>
      </c>
      <c r="F55" s="6">
        <v>0</v>
      </c>
      <c r="G55" s="5">
        <v>0.9</v>
      </c>
      <c r="H55">
        <f t="shared" si="0"/>
        <v>5.5451127819548871</v>
      </c>
      <c r="I55" t="s">
        <v>13</v>
      </c>
      <c r="J55" t="s">
        <v>14</v>
      </c>
      <c r="K55" t="s">
        <v>19</v>
      </c>
    </row>
    <row r="56" spans="1:11">
      <c r="A56" s="2" t="s">
        <v>73</v>
      </c>
      <c r="B56" s="2" t="s">
        <v>73</v>
      </c>
      <c r="C56" s="3">
        <v>12</v>
      </c>
      <c r="D56" s="4">
        <v>226</v>
      </c>
      <c r="E56" s="6">
        <v>51.1</v>
      </c>
      <c r="F56" s="6">
        <v>0</v>
      </c>
      <c r="G56" s="5">
        <v>2.1</v>
      </c>
      <c r="H56">
        <f t="shared" si="0"/>
        <v>5.3097345132743365</v>
      </c>
      <c r="I56" t="s">
        <v>13</v>
      </c>
      <c r="J56" t="s">
        <v>14</v>
      </c>
      <c r="K56" t="s">
        <v>19</v>
      </c>
    </row>
    <row r="57" spans="1:11">
      <c r="A57" s="2" t="s">
        <v>74</v>
      </c>
      <c r="B57" s="2" t="s">
        <v>74</v>
      </c>
      <c r="C57" s="3">
        <v>37</v>
      </c>
      <c r="D57" s="4">
        <v>1084</v>
      </c>
      <c r="E57" s="6">
        <v>90.1</v>
      </c>
      <c r="F57" s="6">
        <v>0</v>
      </c>
      <c r="G57" s="5">
        <v>1</v>
      </c>
      <c r="H57">
        <f t="shared" si="0"/>
        <v>3.4132841328413286</v>
      </c>
      <c r="I57" t="s">
        <v>13</v>
      </c>
      <c r="J57" t="s">
        <v>14</v>
      </c>
      <c r="K57" t="s">
        <v>15</v>
      </c>
    </row>
    <row r="58" spans="1:11">
      <c r="A58" s="2" t="s">
        <v>75</v>
      </c>
      <c r="B58" s="2" t="s">
        <v>75</v>
      </c>
      <c r="C58" s="3">
        <v>11</v>
      </c>
      <c r="D58" s="4">
        <v>280</v>
      </c>
      <c r="E58" s="6">
        <v>73.900000000000006</v>
      </c>
      <c r="F58" s="6">
        <v>0</v>
      </c>
      <c r="G58" s="5">
        <v>1.1000000000000001</v>
      </c>
      <c r="H58">
        <f t="shared" si="0"/>
        <v>3.9285714285714284</v>
      </c>
      <c r="I58" t="s">
        <v>13</v>
      </c>
      <c r="J58" t="s">
        <v>14</v>
      </c>
      <c r="K58" t="s">
        <v>15</v>
      </c>
    </row>
    <row r="59" spans="1:11">
      <c r="A59" s="2" t="s">
        <v>76</v>
      </c>
      <c r="B59" s="2" t="s">
        <v>76</v>
      </c>
      <c r="C59" s="3">
        <v>2</v>
      </c>
      <c r="D59" s="4">
        <v>187</v>
      </c>
      <c r="E59" s="6">
        <v>37.299999999999997</v>
      </c>
      <c r="F59" s="6">
        <v>0</v>
      </c>
      <c r="G59" s="5">
        <v>0.1</v>
      </c>
      <c r="H59">
        <f t="shared" si="0"/>
        <v>1.0695187165775399</v>
      </c>
      <c r="I59" t="s">
        <v>13</v>
      </c>
      <c r="J59" t="s">
        <v>14</v>
      </c>
      <c r="K59" t="s">
        <v>19</v>
      </c>
    </row>
    <row r="60" spans="1:11">
      <c r="A60" s="2" t="s">
        <v>77</v>
      </c>
      <c r="B60" s="2" t="s">
        <v>77</v>
      </c>
      <c r="C60" s="3">
        <v>54</v>
      </c>
      <c r="D60" s="4">
        <v>812</v>
      </c>
      <c r="E60" s="6">
        <v>21.6</v>
      </c>
      <c r="F60" s="6">
        <v>0</v>
      </c>
      <c r="G60" s="5">
        <v>2</v>
      </c>
      <c r="H60">
        <f t="shared" si="0"/>
        <v>6.6502463054187197</v>
      </c>
      <c r="I60" t="s">
        <v>13</v>
      </c>
      <c r="J60" t="s">
        <v>14</v>
      </c>
      <c r="K60" t="s">
        <v>19</v>
      </c>
    </row>
    <row r="61" spans="1:11">
      <c r="A61" s="2" t="s">
        <v>78</v>
      </c>
      <c r="B61" s="2" t="s">
        <v>78</v>
      </c>
      <c r="C61" s="3">
        <v>1157</v>
      </c>
      <c r="D61" s="4">
        <v>5935</v>
      </c>
      <c r="E61" s="6">
        <v>74.400000000000006</v>
      </c>
      <c r="F61" s="6">
        <v>0</v>
      </c>
      <c r="G61" s="5">
        <v>4.5</v>
      </c>
      <c r="H61">
        <f t="shared" si="0"/>
        <v>19.494524010109522</v>
      </c>
      <c r="I61" t="s">
        <v>13</v>
      </c>
      <c r="J61" t="s">
        <v>14</v>
      </c>
      <c r="K61" t="s">
        <v>15</v>
      </c>
    </row>
    <row r="62" spans="1:11">
      <c r="A62" s="2" t="s">
        <v>79</v>
      </c>
      <c r="B62" s="2" t="s">
        <v>79</v>
      </c>
      <c r="C62" s="3">
        <v>29</v>
      </c>
      <c r="D62" s="4">
        <v>807</v>
      </c>
      <c r="E62" s="6">
        <v>63.2</v>
      </c>
      <c r="F62" s="6">
        <v>0</v>
      </c>
      <c r="G62" s="5">
        <v>1.3</v>
      </c>
      <c r="H62">
        <f t="shared" si="0"/>
        <v>3.5935563816604712</v>
      </c>
      <c r="I62" t="s">
        <v>13</v>
      </c>
      <c r="J62" t="s">
        <v>14</v>
      </c>
      <c r="K62" t="s">
        <v>19</v>
      </c>
    </row>
    <row r="63" spans="1:11">
      <c r="A63" s="2" t="s">
        <v>80</v>
      </c>
      <c r="B63" s="2" t="s">
        <v>80</v>
      </c>
      <c r="C63" s="3">
        <v>7</v>
      </c>
      <c r="D63" s="4">
        <v>150</v>
      </c>
      <c r="E63" s="6">
        <v>36.299999999999997</v>
      </c>
      <c r="F63" s="6">
        <v>0</v>
      </c>
      <c r="G63" s="5">
        <v>0.5</v>
      </c>
      <c r="H63">
        <f t="shared" si="0"/>
        <v>4.666666666666667</v>
      </c>
      <c r="I63" t="s">
        <v>13</v>
      </c>
      <c r="J63" t="s">
        <v>14</v>
      </c>
      <c r="K63" t="s">
        <v>19</v>
      </c>
    </row>
    <row r="64" spans="1:11">
      <c r="A64" s="2" t="s">
        <v>81</v>
      </c>
      <c r="B64" s="2" t="s">
        <v>81</v>
      </c>
      <c r="C64" s="3">
        <v>4</v>
      </c>
      <c r="D64" s="4">
        <v>572</v>
      </c>
      <c r="E64" s="6">
        <v>84</v>
      </c>
      <c r="F64" s="6">
        <v>0</v>
      </c>
      <c r="G64" s="5">
        <v>0.3</v>
      </c>
      <c r="H64">
        <f t="shared" si="0"/>
        <v>0.69930069930069927</v>
      </c>
      <c r="I64" t="s">
        <v>13</v>
      </c>
      <c r="J64" t="s">
        <v>14</v>
      </c>
      <c r="K64" t="s">
        <v>15</v>
      </c>
    </row>
    <row r="65" spans="1:12">
      <c r="A65" s="2" t="s">
        <v>82</v>
      </c>
      <c r="B65" s="2" t="s">
        <v>82</v>
      </c>
      <c r="C65" s="3">
        <v>666</v>
      </c>
      <c r="D65" s="4">
        <v>8995</v>
      </c>
      <c r="E65" s="6">
        <v>35.4</v>
      </c>
      <c r="F65" s="6">
        <v>0</v>
      </c>
      <c r="G65" s="5">
        <v>2.2000000000000002</v>
      </c>
      <c r="H65">
        <f t="shared" si="0"/>
        <v>7.4041133963312955</v>
      </c>
      <c r="I65" t="s">
        <v>13</v>
      </c>
      <c r="J65" t="s">
        <v>14</v>
      </c>
      <c r="K65" t="s">
        <v>19</v>
      </c>
    </row>
    <row r="66" spans="1:12">
      <c r="A66" s="2" t="s">
        <v>83</v>
      </c>
      <c r="B66" s="2" t="s">
        <v>83</v>
      </c>
      <c r="C66" s="3">
        <v>61</v>
      </c>
      <c r="D66" s="4">
        <v>103130</v>
      </c>
      <c r="E66" s="6">
        <v>57.4</v>
      </c>
      <c r="F66" s="6">
        <v>0</v>
      </c>
      <c r="G66" s="5">
        <v>0</v>
      </c>
      <c r="H66">
        <f t="shared" si="0"/>
        <v>5.9148647338310864E-2</v>
      </c>
      <c r="I66" t="s">
        <v>13</v>
      </c>
      <c r="J66" t="s">
        <v>14</v>
      </c>
      <c r="K66" t="s">
        <v>19</v>
      </c>
      <c r="L66" t="s">
        <v>84</v>
      </c>
    </row>
    <row r="67" spans="1:12">
      <c r="A67" s="2" t="s">
        <v>85</v>
      </c>
      <c r="B67" s="2" t="s">
        <v>85</v>
      </c>
      <c r="C67" s="3">
        <v>443</v>
      </c>
      <c r="D67" s="4">
        <v>8467</v>
      </c>
      <c r="E67" s="6">
        <v>86.5</v>
      </c>
      <c r="F67" s="6">
        <v>6.9</v>
      </c>
      <c r="G67" s="5">
        <v>1.4</v>
      </c>
      <c r="H67">
        <f t="shared" ref="H67:H130" si="1">(C67/D67)*100</f>
        <v>5.2320774772646743</v>
      </c>
      <c r="I67" t="s">
        <v>13</v>
      </c>
      <c r="J67" t="s">
        <v>14</v>
      </c>
      <c r="K67" t="s">
        <v>15</v>
      </c>
    </row>
    <row r="68" spans="1:12">
      <c r="A68" s="2" t="s">
        <v>86</v>
      </c>
      <c r="B68" s="10" t="s">
        <v>86</v>
      </c>
      <c r="C68" s="3">
        <v>0</v>
      </c>
      <c r="D68" s="4">
        <v>46</v>
      </c>
      <c r="E68" s="6">
        <v>49.1</v>
      </c>
      <c r="F68" s="3"/>
      <c r="G68" s="5">
        <v>0</v>
      </c>
      <c r="H68">
        <f t="shared" si="1"/>
        <v>0</v>
      </c>
      <c r="I68" t="s">
        <v>27</v>
      </c>
      <c r="J68" t="s">
        <v>28</v>
      </c>
      <c r="K68" t="s">
        <v>15</v>
      </c>
    </row>
    <row r="69" spans="1:12">
      <c r="A69" s="2" t="s">
        <v>87</v>
      </c>
      <c r="B69" s="2" t="s">
        <v>87</v>
      </c>
      <c r="C69" s="3">
        <v>219</v>
      </c>
      <c r="D69" s="4">
        <v>3165</v>
      </c>
      <c r="E69" s="6">
        <v>22.7</v>
      </c>
      <c r="F69" s="6">
        <v>0</v>
      </c>
      <c r="G69" s="5">
        <v>2.4</v>
      </c>
      <c r="H69">
        <f t="shared" si="1"/>
        <v>6.9194312796208539</v>
      </c>
      <c r="I69" t="s">
        <v>13</v>
      </c>
      <c r="J69" t="s">
        <v>14</v>
      </c>
      <c r="K69" t="s">
        <v>19</v>
      </c>
    </row>
    <row r="70" spans="1:12">
      <c r="A70" s="2" t="s">
        <v>88</v>
      </c>
      <c r="B70" s="2" t="s">
        <v>88</v>
      </c>
      <c r="C70" s="3">
        <v>72</v>
      </c>
      <c r="D70" s="4">
        <v>1078</v>
      </c>
      <c r="E70" s="6">
        <v>26.7</v>
      </c>
      <c r="F70" s="6">
        <v>0</v>
      </c>
      <c r="G70" s="5">
        <v>2.8</v>
      </c>
      <c r="H70">
        <f t="shared" si="1"/>
        <v>6.679035250463822</v>
      </c>
      <c r="I70" t="s">
        <v>13</v>
      </c>
      <c r="J70" t="s">
        <v>14</v>
      </c>
      <c r="K70" t="s">
        <v>19</v>
      </c>
    </row>
    <row r="71" spans="1:12">
      <c r="A71" s="2" t="s">
        <v>89</v>
      </c>
      <c r="B71" s="2" t="s">
        <v>89</v>
      </c>
      <c r="C71" s="3">
        <v>21</v>
      </c>
      <c r="D71" s="4">
        <v>711</v>
      </c>
      <c r="E71" s="6">
        <v>78.8</v>
      </c>
      <c r="F71" s="6">
        <v>0</v>
      </c>
      <c r="G71" s="5">
        <v>0.6</v>
      </c>
      <c r="H71">
        <f t="shared" si="1"/>
        <v>2.9535864978902953</v>
      </c>
      <c r="I71" t="s">
        <v>13</v>
      </c>
      <c r="J71" t="s">
        <v>14</v>
      </c>
      <c r="K71" t="s">
        <v>15</v>
      </c>
    </row>
    <row r="72" spans="1:12">
      <c r="A72" s="2" t="s">
        <v>90</v>
      </c>
      <c r="B72" s="2" t="s">
        <v>90</v>
      </c>
      <c r="C72" s="3">
        <v>12</v>
      </c>
      <c r="D72" s="4">
        <v>446</v>
      </c>
      <c r="E72" s="6">
        <v>21.8</v>
      </c>
      <c r="F72" s="6">
        <v>0</v>
      </c>
      <c r="G72" s="5">
        <v>0.3</v>
      </c>
      <c r="H72">
        <f t="shared" si="1"/>
        <v>2.6905829596412558</v>
      </c>
      <c r="I72" t="s">
        <v>13</v>
      </c>
      <c r="J72" t="s">
        <v>14</v>
      </c>
      <c r="K72" t="s">
        <v>19</v>
      </c>
    </row>
    <row r="73" spans="1:12">
      <c r="A73" s="2" t="s">
        <v>91</v>
      </c>
      <c r="B73" s="2" t="s">
        <v>91</v>
      </c>
      <c r="C73" s="3">
        <v>49</v>
      </c>
      <c r="D73" s="4">
        <v>1134</v>
      </c>
      <c r="E73" s="6">
        <v>83.3</v>
      </c>
      <c r="F73" s="6">
        <v>0</v>
      </c>
      <c r="G73" s="5">
        <v>1</v>
      </c>
      <c r="H73">
        <f t="shared" si="1"/>
        <v>4.3209876543209873</v>
      </c>
      <c r="I73" t="s">
        <v>13</v>
      </c>
      <c r="J73" t="s">
        <v>14</v>
      </c>
      <c r="K73" t="s">
        <v>15</v>
      </c>
    </row>
    <row r="74" spans="1:12">
      <c r="A74" s="2" t="s">
        <v>92</v>
      </c>
      <c r="B74" s="2" t="s">
        <v>92</v>
      </c>
      <c r="C74" s="3">
        <v>2876</v>
      </c>
      <c r="D74" s="4">
        <v>57632</v>
      </c>
      <c r="E74" s="6">
        <v>44.6</v>
      </c>
      <c r="F74" s="6">
        <v>0</v>
      </c>
      <c r="G74" s="5">
        <v>1.9</v>
      </c>
      <c r="H74">
        <f t="shared" si="1"/>
        <v>4.9902831760133255</v>
      </c>
      <c r="I74" t="s">
        <v>13</v>
      </c>
      <c r="J74" t="s">
        <v>14</v>
      </c>
      <c r="K74" t="s">
        <v>19</v>
      </c>
    </row>
    <row r="75" spans="1:12">
      <c r="A75" s="2" t="s">
        <v>93</v>
      </c>
      <c r="B75" s="2" t="s">
        <v>93</v>
      </c>
      <c r="C75" s="3">
        <v>128</v>
      </c>
      <c r="D75" s="4">
        <v>2816</v>
      </c>
      <c r="E75" s="6">
        <v>79.7</v>
      </c>
      <c r="F75" s="6">
        <v>0</v>
      </c>
      <c r="G75" s="5">
        <v>1.3</v>
      </c>
      <c r="H75">
        <f t="shared" si="1"/>
        <v>4.5454545454545459</v>
      </c>
      <c r="I75" t="s">
        <v>13</v>
      </c>
      <c r="J75" t="s">
        <v>14</v>
      </c>
      <c r="K75" t="s">
        <v>15</v>
      </c>
    </row>
    <row r="76" spans="1:12">
      <c r="A76" s="2" t="s">
        <v>94</v>
      </c>
      <c r="B76" s="10" t="s">
        <v>94</v>
      </c>
      <c r="C76" s="3">
        <v>6</v>
      </c>
      <c r="D76" s="4">
        <v>344</v>
      </c>
      <c r="E76" s="6">
        <v>37.299999999999997</v>
      </c>
      <c r="F76" s="5">
        <v>60.3</v>
      </c>
      <c r="G76" s="5">
        <v>0.8</v>
      </c>
      <c r="H76">
        <f t="shared" si="1"/>
        <v>1.7441860465116279</v>
      </c>
      <c r="I76" t="s">
        <v>27</v>
      </c>
      <c r="J76" t="s">
        <v>28</v>
      </c>
      <c r="K76" t="s">
        <v>15</v>
      </c>
    </row>
    <row r="77" spans="1:12">
      <c r="A77" s="2" t="s">
        <v>95</v>
      </c>
      <c r="B77" s="2" t="s">
        <v>95</v>
      </c>
      <c r="C77" s="3">
        <v>105</v>
      </c>
      <c r="D77" s="4">
        <v>2970</v>
      </c>
      <c r="E77" s="6">
        <v>26</v>
      </c>
      <c r="F77" s="6">
        <v>0</v>
      </c>
      <c r="G77" s="5">
        <v>0.8</v>
      </c>
      <c r="H77">
        <f t="shared" si="1"/>
        <v>3.535353535353535</v>
      </c>
      <c r="I77" t="s">
        <v>13</v>
      </c>
      <c r="J77" t="s">
        <v>14</v>
      </c>
      <c r="K77" t="s">
        <v>19</v>
      </c>
    </row>
    <row r="78" spans="1:12">
      <c r="A78" s="2" t="s">
        <v>96</v>
      </c>
      <c r="B78" s="2" t="s">
        <v>96</v>
      </c>
      <c r="C78" s="3">
        <v>347</v>
      </c>
      <c r="D78" s="4">
        <v>7941</v>
      </c>
      <c r="E78" s="6">
        <v>82.6</v>
      </c>
      <c r="F78" s="6">
        <v>0</v>
      </c>
      <c r="G78" s="5">
        <v>1.1000000000000001</v>
      </c>
      <c r="H78">
        <f t="shared" si="1"/>
        <v>4.3697267346681778</v>
      </c>
      <c r="I78" t="s">
        <v>13</v>
      </c>
      <c r="J78" t="s">
        <v>14</v>
      </c>
      <c r="K78" t="s">
        <v>15</v>
      </c>
    </row>
    <row r="79" spans="1:12">
      <c r="A79" s="2" t="s">
        <v>97</v>
      </c>
      <c r="B79" s="2" t="s">
        <v>97</v>
      </c>
      <c r="C79" s="3">
        <v>400</v>
      </c>
      <c r="D79" s="4">
        <v>5045</v>
      </c>
      <c r="E79" s="6">
        <v>43.4</v>
      </c>
      <c r="F79" s="6">
        <v>2.7</v>
      </c>
      <c r="G79" s="5">
        <v>1.5</v>
      </c>
      <c r="H79">
        <f t="shared" si="1"/>
        <v>7.928642220019821</v>
      </c>
      <c r="I79" t="s">
        <v>13</v>
      </c>
      <c r="J79" t="s">
        <v>14</v>
      </c>
      <c r="K79" t="s">
        <v>19</v>
      </c>
    </row>
    <row r="80" spans="1:12">
      <c r="A80" s="2" t="s">
        <v>98</v>
      </c>
      <c r="B80" s="2" t="s">
        <v>98</v>
      </c>
      <c r="C80" s="3">
        <v>0</v>
      </c>
      <c r="D80" s="4">
        <v>205</v>
      </c>
      <c r="E80" s="6">
        <v>81.099999999999994</v>
      </c>
      <c r="F80" s="6">
        <v>0</v>
      </c>
      <c r="G80" s="5">
        <v>0</v>
      </c>
      <c r="H80">
        <f t="shared" si="1"/>
        <v>0</v>
      </c>
      <c r="I80" t="s">
        <v>13</v>
      </c>
      <c r="J80" t="s">
        <v>14</v>
      </c>
      <c r="K80" t="s">
        <v>15</v>
      </c>
    </row>
    <row r="81" spans="1:11">
      <c r="A81" s="2" t="s">
        <v>99</v>
      </c>
      <c r="B81" s="2" t="s">
        <v>99</v>
      </c>
      <c r="C81" s="3">
        <v>958</v>
      </c>
      <c r="D81" s="4">
        <v>16588</v>
      </c>
      <c r="E81" s="6">
        <v>70.599999999999994</v>
      </c>
      <c r="F81" s="6">
        <v>0</v>
      </c>
      <c r="G81" s="5">
        <v>0.8</v>
      </c>
      <c r="H81">
        <f t="shared" si="1"/>
        <v>5.7752592235350857</v>
      </c>
      <c r="I81" t="s">
        <v>13</v>
      </c>
      <c r="J81" t="s">
        <v>14</v>
      </c>
      <c r="K81" t="s">
        <v>15</v>
      </c>
    </row>
    <row r="82" spans="1:11">
      <c r="A82" s="2" t="s">
        <v>100</v>
      </c>
      <c r="B82" s="2" t="s">
        <v>100</v>
      </c>
      <c r="C82" s="3">
        <v>137</v>
      </c>
      <c r="D82" s="4">
        <v>2202</v>
      </c>
      <c r="E82" s="6">
        <v>53.6</v>
      </c>
      <c r="F82" s="6">
        <v>0</v>
      </c>
      <c r="G82" s="5">
        <v>1.9</v>
      </c>
      <c r="H82">
        <f t="shared" si="1"/>
        <v>6.2216167120799275</v>
      </c>
      <c r="I82" t="s">
        <v>13</v>
      </c>
      <c r="J82" t="s">
        <v>14</v>
      </c>
      <c r="K82" t="s">
        <v>19</v>
      </c>
    </row>
    <row r="83" spans="1:11">
      <c r="A83" s="2" t="s">
        <v>101</v>
      </c>
      <c r="B83" s="2" t="s">
        <v>101</v>
      </c>
      <c r="C83" s="3">
        <v>334</v>
      </c>
      <c r="D83" s="4">
        <v>3081</v>
      </c>
      <c r="E83" s="6">
        <v>35.5</v>
      </c>
      <c r="F83" s="6">
        <v>0</v>
      </c>
      <c r="G83" s="5">
        <v>2</v>
      </c>
      <c r="H83">
        <f t="shared" si="1"/>
        <v>10.840636157091852</v>
      </c>
      <c r="I83" t="s">
        <v>13</v>
      </c>
      <c r="J83" t="s">
        <v>14</v>
      </c>
      <c r="K83" t="s">
        <v>19</v>
      </c>
    </row>
    <row r="84" spans="1:11">
      <c r="A84" s="2" t="s">
        <v>102</v>
      </c>
      <c r="B84" s="2" t="s">
        <v>102</v>
      </c>
      <c r="C84" s="3">
        <v>42</v>
      </c>
      <c r="D84" s="4">
        <v>1300</v>
      </c>
      <c r="E84" s="6">
        <v>56</v>
      </c>
      <c r="F84" s="6">
        <v>0</v>
      </c>
      <c r="G84" s="5">
        <v>0.7</v>
      </c>
      <c r="H84">
        <f t="shared" si="1"/>
        <v>3.2307692307692308</v>
      </c>
      <c r="I84" t="s">
        <v>13</v>
      </c>
      <c r="J84" t="s">
        <v>14</v>
      </c>
      <c r="K84" t="s">
        <v>19</v>
      </c>
    </row>
    <row r="85" spans="1:11">
      <c r="A85" s="2" t="s">
        <v>103</v>
      </c>
      <c r="B85" s="2" t="s">
        <v>103</v>
      </c>
      <c r="C85" s="3">
        <v>70</v>
      </c>
      <c r="D85" s="4">
        <v>2376</v>
      </c>
      <c r="E85" s="6">
        <v>78.099999999999994</v>
      </c>
      <c r="F85" s="6">
        <v>0</v>
      </c>
      <c r="G85" s="5">
        <v>0.6</v>
      </c>
      <c r="H85">
        <f t="shared" si="1"/>
        <v>2.9461279461279464</v>
      </c>
      <c r="I85" t="s">
        <v>13</v>
      </c>
      <c r="J85" t="s">
        <v>14</v>
      </c>
      <c r="K85" t="s">
        <v>15</v>
      </c>
    </row>
    <row r="86" spans="1:11">
      <c r="A86" s="2" t="s">
        <v>104</v>
      </c>
      <c r="B86" s="2" t="s">
        <v>104</v>
      </c>
      <c r="C86" s="3">
        <v>28</v>
      </c>
      <c r="D86" s="4">
        <v>1144</v>
      </c>
      <c r="E86" s="6">
        <v>83.6</v>
      </c>
      <c r="F86" s="6">
        <v>0</v>
      </c>
      <c r="G86" s="5">
        <v>0.9</v>
      </c>
      <c r="H86">
        <f t="shared" si="1"/>
        <v>2.4475524475524475</v>
      </c>
      <c r="I86" t="s">
        <v>13</v>
      </c>
      <c r="J86" t="s">
        <v>14</v>
      </c>
      <c r="K86" t="s">
        <v>15</v>
      </c>
    </row>
    <row r="87" spans="1:11">
      <c r="A87" s="2" t="s">
        <v>105</v>
      </c>
      <c r="B87" s="2" t="s">
        <v>105</v>
      </c>
      <c r="C87" s="3">
        <v>189</v>
      </c>
      <c r="D87" s="4">
        <v>4740</v>
      </c>
      <c r="E87" s="6">
        <v>84</v>
      </c>
      <c r="F87" s="6">
        <v>0</v>
      </c>
      <c r="G87" s="5">
        <v>0.9</v>
      </c>
      <c r="H87">
        <f t="shared" si="1"/>
        <v>3.9873417721518987</v>
      </c>
      <c r="I87" t="s">
        <v>13</v>
      </c>
      <c r="J87" t="s">
        <v>14</v>
      </c>
      <c r="K87" t="s">
        <v>15</v>
      </c>
    </row>
    <row r="88" spans="1:11">
      <c r="A88" s="2" t="s">
        <v>106</v>
      </c>
      <c r="B88" s="2" t="s">
        <v>106</v>
      </c>
      <c r="C88" s="3">
        <v>13</v>
      </c>
      <c r="D88" s="4">
        <v>439</v>
      </c>
      <c r="E88" s="6">
        <v>71.8</v>
      </c>
      <c r="F88" s="6">
        <v>0</v>
      </c>
      <c r="G88" s="5">
        <v>1.1000000000000001</v>
      </c>
      <c r="H88">
        <f t="shared" si="1"/>
        <v>2.9612756264236904</v>
      </c>
      <c r="I88" t="s">
        <v>13</v>
      </c>
      <c r="J88" t="s">
        <v>14</v>
      </c>
      <c r="K88" t="s">
        <v>15</v>
      </c>
    </row>
    <row r="89" spans="1:11">
      <c r="A89" s="2" t="s">
        <v>107</v>
      </c>
      <c r="B89" s="2" t="s">
        <v>107</v>
      </c>
      <c r="C89" s="3">
        <v>946</v>
      </c>
      <c r="D89" s="4">
        <v>15890</v>
      </c>
      <c r="E89" s="6">
        <v>75</v>
      </c>
      <c r="F89" s="6">
        <v>0</v>
      </c>
      <c r="G89" s="5">
        <v>0.8</v>
      </c>
      <c r="H89">
        <f t="shared" si="1"/>
        <v>5.9534298300818129</v>
      </c>
      <c r="I89" t="s">
        <v>13</v>
      </c>
      <c r="J89" t="s">
        <v>14</v>
      </c>
      <c r="K89" t="s">
        <v>15</v>
      </c>
    </row>
    <row r="90" spans="1:11">
      <c r="A90" s="2" t="s">
        <v>108</v>
      </c>
      <c r="B90" s="2" t="s">
        <v>108</v>
      </c>
      <c r="C90" s="3">
        <v>447</v>
      </c>
      <c r="D90" s="4">
        <v>8467</v>
      </c>
      <c r="E90" s="6">
        <v>85.1</v>
      </c>
      <c r="F90" s="6">
        <v>0</v>
      </c>
      <c r="G90" s="5">
        <v>1.4</v>
      </c>
      <c r="H90">
        <f t="shared" si="1"/>
        <v>5.2793197118223691</v>
      </c>
      <c r="I90" t="s">
        <v>13</v>
      </c>
      <c r="J90" t="s">
        <v>14</v>
      </c>
      <c r="K90" t="s">
        <v>15</v>
      </c>
    </row>
    <row r="91" spans="1:11">
      <c r="A91" s="2" t="s">
        <v>109</v>
      </c>
      <c r="B91" s="2" t="s">
        <v>109</v>
      </c>
      <c r="C91" s="3">
        <v>1726</v>
      </c>
      <c r="D91" s="4">
        <v>35039</v>
      </c>
      <c r="E91" s="6">
        <v>47.3</v>
      </c>
      <c r="F91" s="6">
        <v>0</v>
      </c>
      <c r="G91" s="5">
        <v>1</v>
      </c>
      <c r="H91">
        <f t="shared" si="1"/>
        <v>4.9259396672279454</v>
      </c>
      <c r="I91" t="s">
        <v>13</v>
      </c>
      <c r="J91" t="s">
        <v>14</v>
      </c>
      <c r="K91" t="s">
        <v>19</v>
      </c>
    </row>
    <row r="92" spans="1:11">
      <c r="A92" s="2" t="s">
        <v>110</v>
      </c>
      <c r="B92" s="2" t="s">
        <v>110</v>
      </c>
      <c r="C92" s="3">
        <v>999</v>
      </c>
      <c r="D92" s="4">
        <v>4861</v>
      </c>
      <c r="E92" s="6">
        <v>91</v>
      </c>
      <c r="F92" s="6">
        <v>0</v>
      </c>
      <c r="G92" s="5">
        <v>4.8</v>
      </c>
      <c r="H92">
        <f t="shared" si="1"/>
        <v>20.551326887471713</v>
      </c>
      <c r="I92" t="s">
        <v>13</v>
      </c>
      <c r="J92" t="s">
        <v>14</v>
      </c>
      <c r="K92" t="s">
        <v>15</v>
      </c>
    </row>
    <row r="93" spans="1:11">
      <c r="A93" s="2" t="s">
        <v>111</v>
      </c>
      <c r="B93" s="2" t="s">
        <v>111</v>
      </c>
      <c r="C93" s="3">
        <v>3</v>
      </c>
      <c r="D93" s="4">
        <v>708</v>
      </c>
      <c r="E93" s="6">
        <v>33.6</v>
      </c>
      <c r="F93" s="6">
        <v>0</v>
      </c>
      <c r="G93" s="5">
        <v>0.1</v>
      </c>
      <c r="H93">
        <f t="shared" si="1"/>
        <v>0.42372881355932202</v>
      </c>
      <c r="I93" t="s">
        <v>13</v>
      </c>
      <c r="J93" t="s">
        <v>14</v>
      </c>
      <c r="K93" t="s">
        <v>19</v>
      </c>
    </row>
    <row r="94" spans="1:11">
      <c r="A94" s="2" t="s">
        <v>112</v>
      </c>
      <c r="B94" s="2" t="s">
        <v>112</v>
      </c>
      <c r="C94" s="3">
        <v>127</v>
      </c>
      <c r="D94" s="4">
        <v>2789</v>
      </c>
      <c r="E94" s="6">
        <v>78.7</v>
      </c>
      <c r="F94" s="6">
        <v>0</v>
      </c>
      <c r="G94" s="5">
        <v>1.3</v>
      </c>
      <c r="H94">
        <f t="shared" si="1"/>
        <v>4.5536034420939409</v>
      </c>
      <c r="I94" t="s">
        <v>13</v>
      </c>
      <c r="J94" t="s">
        <v>14</v>
      </c>
      <c r="K94" t="s">
        <v>15</v>
      </c>
    </row>
    <row r="95" spans="1:11">
      <c r="A95" s="2" t="s">
        <v>113</v>
      </c>
      <c r="B95" s="2" t="s">
        <v>113</v>
      </c>
      <c r="C95" s="3">
        <v>2</v>
      </c>
      <c r="D95" s="4">
        <v>580</v>
      </c>
      <c r="E95" s="6">
        <v>21.6</v>
      </c>
      <c r="F95" s="6">
        <v>0</v>
      </c>
      <c r="G95" s="5">
        <v>0.1</v>
      </c>
      <c r="H95">
        <f t="shared" si="1"/>
        <v>0.34482758620689657</v>
      </c>
      <c r="I95" t="s">
        <v>13</v>
      </c>
      <c r="J95" t="s">
        <v>14</v>
      </c>
      <c r="K95" t="s">
        <v>19</v>
      </c>
    </row>
    <row r="96" spans="1:11">
      <c r="A96" s="2" t="s">
        <v>114</v>
      </c>
      <c r="B96" s="2" t="s">
        <v>114</v>
      </c>
      <c r="C96" s="3">
        <v>66</v>
      </c>
      <c r="D96" s="4">
        <v>1999</v>
      </c>
      <c r="E96" s="6">
        <v>84.9</v>
      </c>
      <c r="F96" s="6">
        <v>0</v>
      </c>
      <c r="G96" s="5">
        <v>0.7</v>
      </c>
      <c r="H96">
        <f t="shared" si="1"/>
        <v>3.3016508254127066</v>
      </c>
      <c r="I96" t="s">
        <v>13</v>
      </c>
      <c r="J96" t="s">
        <v>14</v>
      </c>
      <c r="K96" t="s">
        <v>15</v>
      </c>
    </row>
    <row r="97" spans="1:11">
      <c r="A97" s="2" t="s">
        <v>115</v>
      </c>
      <c r="B97" s="2" t="s">
        <v>115</v>
      </c>
      <c r="C97" s="3">
        <v>19</v>
      </c>
      <c r="D97" s="4">
        <v>727</v>
      </c>
      <c r="E97" s="5">
        <v>0</v>
      </c>
      <c r="F97" s="6">
        <v>0</v>
      </c>
      <c r="G97" s="5">
        <v>0.9</v>
      </c>
      <c r="H97">
        <f t="shared" si="1"/>
        <v>2.613480055020633</v>
      </c>
      <c r="I97" t="s">
        <v>13</v>
      </c>
      <c r="J97" t="s">
        <v>14</v>
      </c>
      <c r="K97" t="s">
        <v>19</v>
      </c>
    </row>
    <row r="98" spans="1:11">
      <c r="A98" s="2" t="s">
        <v>116</v>
      </c>
      <c r="B98" s="9" t="s">
        <v>116</v>
      </c>
      <c r="C98" s="3">
        <v>0</v>
      </c>
      <c r="D98" s="4">
        <v>1631</v>
      </c>
      <c r="E98" s="5">
        <v>0</v>
      </c>
      <c r="F98" s="3"/>
      <c r="G98" s="5">
        <v>0</v>
      </c>
      <c r="H98">
        <f>(C98/D98)*100</f>
        <v>0</v>
      </c>
      <c r="I98" t="s">
        <v>117</v>
      </c>
      <c r="J98" t="s">
        <v>118</v>
      </c>
      <c r="K98" t="s">
        <v>15</v>
      </c>
    </row>
    <row r="99" spans="1:11">
      <c r="A99" s="2" t="s">
        <v>119</v>
      </c>
      <c r="B99" s="2" t="s">
        <v>119</v>
      </c>
      <c r="C99" s="3">
        <v>3</v>
      </c>
      <c r="D99" s="4">
        <v>1436</v>
      </c>
      <c r="E99" s="5">
        <v>0</v>
      </c>
      <c r="F99" s="5">
        <v>75.400000000000006</v>
      </c>
      <c r="G99" s="5">
        <v>0</v>
      </c>
      <c r="H99">
        <f>(C99/D99)*100</f>
        <v>0.20891364902506965</v>
      </c>
      <c r="I99" t="s">
        <v>117</v>
      </c>
      <c r="J99" t="s">
        <v>118</v>
      </c>
      <c r="K99" t="s">
        <v>15</v>
      </c>
    </row>
    <row r="100" spans="1:11">
      <c r="A100" s="2" t="s">
        <v>120</v>
      </c>
      <c r="B100" s="2" t="s">
        <v>120</v>
      </c>
      <c r="C100" s="3">
        <v>1</v>
      </c>
      <c r="D100" s="4">
        <v>471</v>
      </c>
      <c r="E100" s="5">
        <v>0</v>
      </c>
      <c r="F100" s="5">
        <v>93.7</v>
      </c>
      <c r="G100" s="5">
        <v>0</v>
      </c>
      <c r="H100">
        <f>(C100/D100)*100</f>
        <v>0.21231422505307856</v>
      </c>
      <c r="I100" t="s">
        <v>117</v>
      </c>
      <c r="J100" t="s">
        <v>118</v>
      </c>
      <c r="K100" t="s">
        <v>15</v>
      </c>
    </row>
    <row r="101" spans="1:11">
      <c r="A101" s="2" t="s">
        <v>121</v>
      </c>
      <c r="B101" s="2" t="s">
        <v>121</v>
      </c>
      <c r="C101" s="3">
        <v>22</v>
      </c>
      <c r="D101" s="4">
        <v>560</v>
      </c>
      <c r="E101" s="5">
        <v>0</v>
      </c>
      <c r="F101" s="6">
        <v>0</v>
      </c>
      <c r="G101" s="5">
        <v>0.8</v>
      </c>
      <c r="H101">
        <f>(C101/D101)*100</f>
        <v>3.9285714285714284</v>
      </c>
      <c r="I101" t="s">
        <v>13</v>
      </c>
      <c r="J101" t="s">
        <v>14</v>
      </c>
      <c r="K101" t="s">
        <v>19</v>
      </c>
    </row>
    <row r="102" spans="1:11">
      <c r="A102" s="2" t="s">
        <v>122</v>
      </c>
      <c r="B102" s="2" t="s">
        <v>122</v>
      </c>
      <c r="C102" s="3">
        <v>0</v>
      </c>
      <c r="D102" s="4">
        <v>2271</v>
      </c>
      <c r="E102" s="5">
        <v>3.4</v>
      </c>
      <c r="F102" s="5">
        <v>74.8</v>
      </c>
      <c r="G102" s="5">
        <v>0</v>
      </c>
      <c r="H102">
        <f>(C102/D102)*100</f>
        <v>0</v>
      </c>
      <c r="I102" t="s">
        <v>117</v>
      </c>
      <c r="J102" t="s">
        <v>28</v>
      </c>
      <c r="K102" t="s">
        <v>15</v>
      </c>
    </row>
    <row r="103" spans="1:11">
      <c r="A103" s="2" t="s">
        <v>123</v>
      </c>
      <c r="B103" s="2" t="s">
        <v>123</v>
      </c>
      <c r="C103" s="3">
        <v>4</v>
      </c>
      <c r="D103" s="4">
        <v>3703</v>
      </c>
      <c r="E103" s="5">
        <v>0</v>
      </c>
      <c r="F103" s="5">
        <v>68.3</v>
      </c>
      <c r="G103" s="5">
        <v>0</v>
      </c>
      <c r="H103">
        <f>(C103/D103)*100</f>
        <v>0.10802052389954091</v>
      </c>
      <c r="I103" t="s">
        <v>117</v>
      </c>
      <c r="J103" t="s">
        <v>118</v>
      </c>
      <c r="K103" t="s">
        <v>15</v>
      </c>
    </row>
    <row r="104" spans="1:11">
      <c r="A104" s="2" t="s">
        <v>124</v>
      </c>
      <c r="B104" s="2" t="s">
        <v>124</v>
      </c>
      <c r="C104" s="3"/>
      <c r="D104" s="3"/>
      <c r="E104" s="3"/>
      <c r="F104" s="3"/>
      <c r="G104" s="3"/>
      <c r="H104" t="e">
        <f>(C104/D104)*100</f>
        <v>#DIV/0!</v>
      </c>
      <c r="I104" t="s">
        <v>117</v>
      </c>
      <c r="J104" t="s">
        <v>118</v>
      </c>
      <c r="K104" t="s">
        <v>125</v>
      </c>
    </row>
    <row r="105" spans="1:11">
      <c r="A105" s="2" t="s">
        <v>126</v>
      </c>
      <c r="B105" s="2" t="s">
        <v>126</v>
      </c>
      <c r="C105" s="3">
        <v>46</v>
      </c>
      <c r="D105" s="4">
        <v>9008</v>
      </c>
      <c r="E105" s="5">
        <v>5.8</v>
      </c>
      <c r="F105" s="5">
        <v>79.2</v>
      </c>
      <c r="G105" s="5">
        <v>0.1</v>
      </c>
      <c r="H105">
        <f>(C105/D105)*100</f>
        <v>0.51065719360568385</v>
      </c>
      <c r="I105" t="s">
        <v>117</v>
      </c>
      <c r="J105" t="s">
        <v>28</v>
      </c>
      <c r="K105" t="s">
        <v>15</v>
      </c>
    </row>
    <row r="106" spans="1:11">
      <c r="A106" s="2" t="s">
        <v>127</v>
      </c>
      <c r="B106" s="2" t="s">
        <v>127</v>
      </c>
      <c r="C106" s="3">
        <v>7</v>
      </c>
      <c r="D106" s="4">
        <v>123</v>
      </c>
      <c r="E106" s="5">
        <v>0</v>
      </c>
      <c r="F106" s="6">
        <v>0</v>
      </c>
      <c r="G106" s="5">
        <v>1.5</v>
      </c>
      <c r="H106">
        <f>(C106/D106)*100</f>
        <v>5.6910569105691051</v>
      </c>
      <c r="I106" t="s">
        <v>13</v>
      </c>
      <c r="J106" t="s">
        <v>14</v>
      </c>
      <c r="K106" t="s">
        <v>19</v>
      </c>
    </row>
    <row r="107" spans="1:11">
      <c r="A107" s="2" t="s">
        <v>128</v>
      </c>
      <c r="B107" s="2" t="s">
        <v>128</v>
      </c>
      <c r="C107" s="3">
        <v>0</v>
      </c>
      <c r="D107" s="4">
        <v>108</v>
      </c>
      <c r="E107" s="5">
        <v>0</v>
      </c>
      <c r="F107" s="5">
        <v>100</v>
      </c>
      <c r="G107" s="5">
        <v>0</v>
      </c>
      <c r="H107">
        <f>(C107/D107)*100</f>
        <v>0</v>
      </c>
      <c r="I107" t="s">
        <v>117</v>
      </c>
      <c r="J107" t="s">
        <v>118</v>
      </c>
      <c r="K107" t="s">
        <v>15</v>
      </c>
    </row>
    <row r="108" spans="1:11">
      <c r="A108" s="2" t="s">
        <v>129</v>
      </c>
      <c r="B108" s="2" t="s">
        <v>129</v>
      </c>
      <c r="C108" s="3">
        <v>97</v>
      </c>
      <c r="D108" s="4">
        <v>8679</v>
      </c>
      <c r="E108" s="5">
        <v>6.5</v>
      </c>
      <c r="F108" s="6">
        <v>15.4</v>
      </c>
      <c r="G108" s="5">
        <v>0.3</v>
      </c>
      <c r="H108">
        <f>(C108/D108)*100</f>
        <v>1.1176402811383801</v>
      </c>
      <c r="I108" t="s">
        <v>13</v>
      </c>
      <c r="J108" t="s">
        <v>14</v>
      </c>
      <c r="K108" t="s">
        <v>19</v>
      </c>
    </row>
    <row r="109" spans="1:11">
      <c r="A109" s="2" t="s">
        <v>130</v>
      </c>
      <c r="B109" s="2" t="s">
        <v>130</v>
      </c>
      <c r="C109" s="3">
        <v>50</v>
      </c>
      <c r="D109" s="4">
        <v>2252</v>
      </c>
      <c r="E109" s="5">
        <v>9.6999999999999993</v>
      </c>
      <c r="F109" s="6">
        <v>0</v>
      </c>
      <c r="G109" s="5">
        <v>0.4</v>
      </c>
      <c r="H109">
        <f>(C109/D109)*100</f>
        <v>2.2202486678507993</v>
      </c>
      <c r="I109" t="s">
        <v>13</v>
      </c>
      <c r="J109" t="s">
        <v>14</v>
      </c>
      <c r="K109" t="s">
        <v>19</v>
      </c>
    </row>
    <row r="110" spans="1:11">
      <c r="A110" s="2" t="s">
        <v>131</v>
      </c>
      <c r="B110" s="2" t="s">
        <v>131</v>
      </c>
      <c r="C110" s="3">
        <v>93</v>
      </c>
      <c r="D110" s="4">
        <v>2805</v>
      </c>
      <c r="E110" s="5">
        <v>19.2</v>
      </c>
      <c r="F110" s="6">
        <v>0</v>
      </c>
      <c r="G110" s="5">
        <v>0.2</v>
      </c>
      <c r="H110">
        <f>(C110/D110)*100</f>
        <v>3.3155080213903747</v>
      </c>
      <c r="I110" t="s">
        <v>13</v>
      </c>
      <c r="J110" t="s">
        <v>14</v>
      </c>
      <c r="K110" t="s">
        <v>19</v>
      </c>
    </row>
    <row r="111" spans="1:11">
      <c r="A111" s="2" t="s">
        <v>132</v>
      </c>
      <c r="B111" s="2" t="s">
        <v>132</v>
      </c>
      <c r="C111" s="3">
        <v>65</v>
      </c>
      <c r="D111" s="4">
        <v>3780</v>
      </c>
      <c r="E111" s="5">
        <v>3.3</v>
      </c>
      <c r="F111" s="6">
        <v>0</v>
      </c>
      <c r="G111" s="5">
        <v>0.3</v>
      </c>
      <c r="H111">
        <f>(C111/D111)*100</f>
        <v>1.7195767195767195</v>
      </c>
      <c r="I111" t="s">
        <v>13</v>
      </c>
      <c r="J111" t="s">
        <v>14</v>
      </c>
      <c r="K111" t="s">
        <v>19</v>
      </c>
    </row>
    <row r="112" spans="1:11">
      <c r="A112" s="2" t="s">
        <v>133</v>
      </c>
      <c r="B112" s="2" t="s">
        <v>133</v>
      </c>
      <c r="C112" s="3">
        <v>5</v>
      </c>
      <c r="D112" s="4">
        <v>303</v>
      </c>
      <c r="E112" s="5">
        <v>11.7</v>
      </c>
      <c r="F112" s="6">
        <v>0</v>
      </c>
      <c r="G112" s="5">
        <v>0.4</v>
      </c>
      <c r="H112">
        <f>(C112/D112)*100</f>
        <v>1.6501650165016499</v>
      </c>
      <c r="I112" t="s">
        <v>13</v>
      </c>
      <c r="J112" t="s">
        <v>14</v>
      </c>
      <c r="K112" t="s">
        <v>19</v>
      </c>
    </row>
    <row r="113" spans="1:11">
      <c r="A113" s="2" t="s">
        <v>134</v>
      </c>
      <c r="B113" s="2" t="s">
        <v>134</v>
      </c>
      <c r="C113" s="3">
        <v>13</v>
      </c>
      <c r="D113" s="4">
        <v>365</v>
      </c>
      <c r="E113" s="5">
        <v>18.7</v>
      </c>
      <c r="F113" s="6">
        <v>0</v>
      </c>
      <c r="G113" s="5">
        <v>1.3</v>
      </c>
      <c r="H113">
        <f>(C113/D113)*100</f>
        <v>3.5616438356164384</v>
      </c>
      <c r="I113" t="s">
        <v>13</v>
      </c>
      <c r="J113" t="s">
        <v>14</v>
      </c>
      <c r="K113" t="s">
        <v>19</v>
      </c>
    </row>
    <row r="114" spans="1:11">
      <c r="A114" s="2" t="s">
        <v>135</v>
      </c>
      <c r="B114" s="2" t="s">
        <v>135</v>
      </c>
      <c r="C114" s="3"/>
      <c r="D114" s="3"/>
      <c r="E114" s="3"/>
      <c r="F114" s="3"/>
      <c r="G114" s="3"/>
      <c r="H114" t="e">
        <f>(C114/D114)*100</f>
        <v>#DIV/0!</v>
      </c>
      <c r="I114" t="s">
        <v>117</v>
      </c>
      <c r="J114" t="s">
        <v>118</v>
      </c>
      <c r="K114" t="s">
        <v>125</v>
      </c>
    </row>
    <row r="115" spans="1:11">
      <c r="A115" s="2" t="s">
        <v>136</v>
      </c>
      <c r="B115" s="2" t="s">
        <v>136</v>
      </c>
      <c r="C115" s="3"/>
      <c r="D115" s="3"/>
      <c r="E115" s="3"/>
      <c r="F115" s="3"/>
      <c r="G115" s="3"/>
      <c r="H115" t="e">
        <f>(C115/D115)*100</f>
        <v>#DIV/0!</v>
      </c>
      <c r="I115" t="s">
        <v>117</v>
      </c>
      <c r="J115" t="s">
        <v>118</v>
      </c>
      <c r="K115" t="s">
        <v>125</v>
      </c>
    </row>
    <row r="116" spans="1:11">
      <c r="A116" s="2" t="s">
        <v>137</v>
      </c>
      <c r="B116" s="2" t="s">
        <v>137</v>
      </c>
      <c r="C116" s="3">
        <v>12</v>
      </c>
      <c r="D116" s="4">
        <v>272</v>
      </c>
      <c r="E116" s="5">
        <v>0</v>
      </c>
      <c r="F116" s="6">
        <v>0</v>
      </c>
      <c r="G116" s="5">
        <v>1.6</v>
      </c>
      <c r="H116">
        <f>(C116/D116)*100</f>
        <v>4.4117647058823533</v>
      </c>
      <c r="I116" t="s">
        <v>13</v>
      </c>
      <c r="J116" t="s">
        <v>14</v>
      </c>
      <c r="K116" t="s">
        <v>19</v>
      </c>
    </row>
    <row r="117" spans="1:11">
      <c r="A117" s="2" t="s">
        <v>138</v>
      </c>
      <c r="B117" s="2" t="s">
        <v>138</v>
      </c>
      <c r="C117" s="3">
        <v>1</v>
      </c>
      <c r="D117" s="4">
        <v>529</v>
      </c>
      <c r="E117" s="5">
        <v>2.6</v>
      </c>
      <c r="F117" s="6">
        <v>0</v>
      </c>
      <c r="G117" s="5">
        <v>0</v>
      </c>
      <c r="H117">
        <f>(C117/D117)*100</f>
        <v>0.1890359168241966</v>
      </c>
      <c r="I117" t="s">
        <v>13</v>
      </c>
      <c r="J117" t="s">
        <v>14</v>
      </c>
      <c r="K117" t="s">
        <v>19</v>
      </c>
    </row>
    <row r="118" spans="1:11">
      <c r="A118" s="2" t="s">
        <v>139</v>
      </c>
      <c r="B118" s="2" t="s">
        <v>139</v>
      </c>
      <c r="C118" s="3"/>
      <c r="D118" s="3"/>
      <c r="E118" s="3"/>
      <c r="F118" s="3"/>
      <c r="G118" s="3"/>
      <c r="H118" t="e">
        <f>(C118/D118)*100</f>
        <v>#DIV/0!</v>
      </c>
      <c r="I118" t="s">
        <v>117</v>
      </c>
      <c r="J118" t="s">
        <v>118</v>
      </c>
      <c r="K118" t="s">
        <v>125</v>
      </c>
    </row>
    <row r="119" spans="1:11">
      <c r="A119" s="2" t="s">
        <v>140</v>
      </c>
      <c r="B119" s="2" t="s">
        <v>140</v>
      </c>
      <c r="C119" s="3">
        <v>0</v>
      </c>
      <c r="D119" s="4">
        <v>965</v>
      </c>
      <c r="E119" s="5">
        <v>10.8</v>
      </c>
      <c r="F119" s="5">
        <v>77.8</v>
      </c>
      <c r="G119" s="5">
        <v>0</v>
      </c>
      <c r="H119">
        <f>(C119/D119)*100</f>
        <v>0</v>
      </c>
      <c r="I119" t="s">
        <v>117</v>
      </c>
      <c r="J119" t="s">
        <v>28</v>
      </c>
      <c r="K119" t="s">
        <v>15</v>
      </c>
    </row>
    <row r="120" spans="1:11">
      <c r="A120" s="2" t="s">
        <v>141</v>
      </c>
      <c r="B120" s="2" t="s">
        <v>141</v>
      </c>
      <c r="C120" s="3">
        <v>103</v>
      </c>
      <c r="D120" s="4">
        <v>1826</v>
      </c>
      <c r="E120" s="5">
        <v>16.399999999999999</v>
      </c>
      <c r="F120" s="6">
        <v>0</v>
      </c>
      <c r="G120" s="5">
        <v>1</v>
      </c>
      <c r="H120">
        <f>(C120/D120)*100</f>
        <v>5.640744797371303</v>
      </c>
      <c r="I120" t="s">
        <v>13</v>
      </c>
      <c r="J120" t="s">
        <v>14</v>
      </c>
      <c r="K120" t="s">
        <v>19</v>
      </c>
    </row>
    <row r="121" spans="1:11">
      <c r="A121" s="2" t="s">
        <v>142</v>
      </c>
      <c r="B121" s="2" t="s">
        <v>142</v>
      </c>
      <c r="C121" s="3">
        <v>4</v>
      </c>
      <c r="D121" s="4">
        <v>6812</v>
      </c>
      <c r="E121" s="5">
        <v>0.9</v>
      </c>
      <c r="F121" s="5">
        <v>81.3</v>
      </c>
      <c r="G121" s="5">
        <v>0</v>
      </c>
      <c r="H121">
        <f>(C121/D121)*100</f>
        <v>5.8719906048150319E-2</v>
      </c>
      <c r="I121" t="s">
        <v>117</v>
      </c>
      <c r="J121" t="s">
        <v>118</v>
      </c>
      <c r="K121" t="s">
        <v>15</v>
      </c>
    </row>
    <row r="122" spans="1:11">
      <c r="A122" s="2" t="s">
        <v>143</v>
      </c>
      <c r="B122" s="2" t="s">
        <v>143</v>
      </c>
      <c r="C122" s="3">
        <v>0</v>
      </c>
      <c r="D122" s="3"/>
      <c r="E122" s="5">
        <v>0</v>
      </c>
      <c r="F122" s="6">
        <v>41.9</v>
      </c>
      <c r="G122" s="5">
        <v>0</v>
      </c>
      <c r="H122" t="e">
        <f>(C122/D122)*100</f>
        <v>#DIV/0!</v>
      </c>
      <c r="I122" t="s">
        <v>117</v>
      </c>
      <c r="J122" t="s">
        <v>118</v>
      </c>
      <c r="K122" t="s">
        <v>125</v>
      </c>
    </row>
    <row r="123" spans="1:11">
      <c r="A123" s="2" t="s">
        <v>144</v>
      </c>
      <c r="B123" s="2" t="s">
        <v>144</v>
      </c>
      <c r="C123" s="3">
        <v>9</v>
      </c>
      <c r="D123" s="4">
        <v>1429</v>
      </c>
      <c r="E123" s="5">
        <v>0</v>
      </c>
      <c r="F123" s="5">
        <v>75.5</v>
      </c>
      <c r="G123" s="5">
        <v>0.2</v>
      </c>
      <c r="H123">
        <f>(C123/D123)*100</f>
        <v>0.62981105668299509</v>
      </c>
      <c r="I123" t="s">
        <v>117</v>
      </c>
      <c r="J123" t="s">
        <v>118</v>
      </c>
      <c r="K123" t="s">
        <v>15</v>
      </c>
    </row>
    <row r="124" spans="1:11">
      <c r="A124" s="2" t="s">
        <v>145</v>
      </c>
      <c r="B124" s="2" t="s">
        <v>145</v>
      </c>
      <c r="C124" s="3">
        <v>54</v>
      </c>
      <c r="D124" s="4">
        <v>1634</v>
      </c>
      <c r="E124" s="5">
        <v>8.6999999999999993</v>
      </c>
      <c r="F124" s="6">
        <v>0</v>
      </c>
      <c r="G124" s="5">
        <v>0.7</v>
      </c>
      <c r="H124">
        <f>(C124/D124)*100</f>
        <v>3.3047735618115053</v>
      </c>
      <c r="I124" t="s">
        <v>13</v>
      </c>
      <c r="J124" t="s">
        <v>14</v>
      </c>
      <c r="K124" t="s">
        <v>19</v>
      </c>
    </row>
    <row r="125" spans="1:11">
      <c r="A125" s="2" t="s">
        <v>146</v>
      </c>
      <c r="B125" s="2" t="s">
        <v>146</v>
      </c>
      <c r="C125" s="3">
        <v>12</v>
      </c>
      <c r="D125" s="4">
        <v>395</v>
      </c>
      <c r="E125" s="5">
        <v>0</v>
      </c>
      <c r="F125" s="6">
        <v>0</v>
      </c>
      <c r="G125" s="5">
        <v>0.5</v>
      </c>
      <c r="H125">
        <f>(C125/D125)*100</f>
        <v>3.0379746835443036</v>
      </c>
      <c r="I125" t="s">
        <v>13</v>
      </c>
      <c r="J125" t="s">
        <v>14</v>
      </c>
      <c r="K125" t="s">
        <v>19</v>
      </c>
    </row>
    <row r="126" spans="1:11">
      <c r="A126" s="2" t="s">
        <v>147</v>
      </c>
      <c r="B126" s="2" t="s">
        <v>147</v>
      </c>
      <c r="C126" s="3">
        <v>0</v>
      </c>
      <c r="D126" s="4">
        <v>2725</v>
      </c>
      <c r="E126" s="5">
        <v>1.4</v>
      </c>
      <c r="F126" s="5">
        <v>78.7</v>
      </c>
      <c r="G126" s="5">
        <v>0</v>
      </c>
      <c r="H126">
        <f>(C126/D126)*100</f>
        <v>0</v>
      </c>
      <c r="I126" t="s">
        <v>117</v>
      </c>
      <c r="J126" t="s">
        <v>118</v>
      </c>
      <c r="K126" t="s">
        <v>15</v>
      </c>
    </row>
    <row r="127" spans="1:11">
      <c r="A127" s="2" t="s">
        <v>148</v>
      </c>
      <c r="B127" s="2" t="s">
        <v>148</v>
      </c>
      <c r="C127" s="3">
        <v>0</v>
      </c>
      <c r="D127" s="4">
        <v>2599</v>
      </c>
      <c r="E127" s="5">
        <v>0</v>
      </c>
      <c r="F127" s="5">
        <v>80.5</v>
      </c>
      <c r="G127" s="5">
        <v>0</v>
      </c>
      <c r="H127">
        <f>(C127/D127)*100</f>
        <v>0</v>
      </c>
      <c r="I127" t="s">
        <v>117</v>
      </c>
      <c r="J127" t="s">
        <v>118</v>
      </c>
      <c r="K127" t="s">
        <v>15</v>
      </c>
    </row>
    <row r="128" spans="1:11">
      <c r="A128" s="2" t="s">
        <v>149</v>
      </c>
      <c r="B128" s="2" t="s">
        <v>149</v>
      </c>
      <c r="C128" s="3">
        <v>3</v>
      </c>
      <c r="D128" s="4">
        <v>2806</v>
      </c>
      <c r="E128" s="5">
        <v>0</v>
      </c>
      <c r="F128" s="5">
        <v>72.599999999999994</v>
      </c>
      <c r="G128" s="5">
        <v>0</v>
      </c>
      <c r="H128">
        <f>(C128/D128)*100</f>
        <v>0.10691375623663579</v>
      </c>
      <c r="I128" t="s">
        <v>117</v>
      </c>
      <c r="J128" t="s">
        <v>118</v>
      </c>
      <c r="K128" t="s">
        <v>15</v>
      </c>
    </row>
    <row r="129" spans="1:11">
      <c r="A129" s="2" t="s">
        <v>150</v>
      </c>
      <c r="B129" s="2" t="s">
        <v>150</v>
      </c>
      <c r="C129" s="3">
        <v>19</v>
      </c>
      <c r="D129" s="4">
        <v>271</v>
      </c>
      <c r="E129" s="5">
        <v>0</v>
      </c>
      <c r="F129" s="6">
        <v>0</v>
      </c>
      <c r="G129" s="5">
        <v>1.2</v>
      </c>
      <c r="H129">
        <f>(C129/D129)*100</f>
        <v>7.0110701107011062</v>
      </c>
      <c r="I129" t="s">
        <v>13</v>
      </c>
      <c r="J129" t="s">
        <v>14</v>
      </c>
      <c r="K129" t="s">
        <v>19</v>
      </c>
    </row>
    <row r="130" spans="1:11">
      <c r="A130" s="2" t="s">
        <v>151</v>
      </c>
      <c r="B130" s="2" t="s">
        <v>151</v>
      </c>
      <c r="C130" s="3">
        <v>0</v>
      </c>
      <c r="D130" s="4">
        <v>1838</v>
      </c>
      <c r="E130" s="5">
        <v>0</v>
      </c>
      <c r="F130" s="5">
        <v>76.400000000000006</v>
      </c>
      <c r="G130" s="5">
        <v>0</v>
      </c>
      <c r="H130">
        <f>(C130/D130)*100</f>
        <v>0</v>
      </c>
      <c r="I130" t="s">
        <v>117</v>
      </c>
      <c r="J130" t="s">
        <v>118</v>
      </c>
      <c r="K130" t="s">
        <v>15</v>
      </c>
    </row>
    <row r="131" spans="1:11">
      <c r="A131" s="2" t="s">
        <v>152</v>
      </c>
      <c r="B131" s="2" t="s">
        <v>152</v>
      </c>
      <c r="C131" s="3">
        <v>11</v>
      </c>
      <c r="D131" s="4">
        <v>309</v>
      </c>
      <c r="E131" s="5">
        <v>0</v>
      </c>
      <c r="F131" s="5">
        <v>90.6</v>
      </c>
      <c r="G131" s="5">
        <v>0.7</v>
      </c>
      <c r="H131">
        <f>(C131/D131)*100</f>
        <v>3.5598705501618122</v>
      </c>
      <c r="I131" t="s">
        <v>117</v>
      </c>
      <c r="J131" t="s">
        <v>118</v>
      </c>
      <c r="K131" t="s">
        <v>15</v>
      </c>
    </row>
    <row r="132" spans="1:11">
      <c r="A132" s="2" t="s">
        <v>153</v>
      </c>
      <c r="B132" s="2" t="s">
        <v>153</v>
      </c>
      <c r="C132" s="3">
        <v>4</v>
      </c>
      <c r="D132" s="4">
        <v>564</v>
      </c>
      <c r="E132" s="5">
        <v>13.8</v>
      </c>
      <c r="F132" s="6">
        <v>49.2</v>
      </c>
      <c r="G132" s="5">
        <v>0.1</v>
      </c>
      <c r="H132">
        <f>(C132/D132)*100</f>
        <v>0.70921985815602839</v>
      </c>
      <c r="I132" t="s">
        <v>117</v>
      </c>
      <c r="J132" t="s">
        <v>28</v>
      </c>
      <c r="K132" t="s">
        <v>19</v>
      </c>
    </row>
    <row r="133" spans="1:11">
      <c r="A133" s="2" t="s">
        <v>154</v>
      </c>
      <c r="B133" s="2" t="s">
        <v>154</v>
      </c>
      <c r="C133" s="3">
        <v>7</v>
      </c>
      <c r="D133" s="4">
        <v>2338</v>
      </c>
      <c r="E133" s="5">
        <v>1.8</v>
      </c>
      <c r="F133" s="5">
        <v>57</v>
      </c>
      <c r="G133" s="5">
        <v>0.1</v>
      </c>
      <c r="H133">
        <f>(C133/D133)*100</f>
        <v>0.29940119760479045</v>
      </c>
      <c r="I133" t="s">
        <v>117</v>
      </c>
      <c r="J133" t="s">
        <v>118</v>
      </c>
      <c r="K133" t="s">
        <v>15</v>
      </c>
    </row>
    <row r="134" spans="1:11">
      <c r="A134" s="2" t="s">
        <v>155</v>
      </c>
      <c r="B134" s="2" t="s">
        <v>155</v>
      </c>
      <c r="C134" s="3"/>
      <c r="D134" s="3"/>
      <c r="E134" s="3"/>
      <c r="F134" s="3"/>
      <c r="G134" s="3"/>
      <c r="H134" t="e">
        <f>(C134/D134)*100</f>
        <v>#DIV/0!</v>
      </c>
      <c r="I134" t="s">
        <v>117</v>
      </c>
      <c r="J134" t="s">
        <v>118</v>
      </c>
      <c r="K134" t="s">
        <v>125</v>
      </c>
    </row>
    <row r="135" spans="1:11">
      <c r="A135" s="2" t="s">
        <v>156</v>
      </c>
      <c r="B135" s="2" t="s">
        <v>156</v>
      </c>
      <c r="C135" s="3">
        <v>19</v>
      </c>
      <c r="D135" s="4">
        <v>817</v>
      </c>
      <c r="E135" s="5">
        <v>9.4</v>
      </c>
      <c r="F135" s="5">
        <v>75.5</v>
      </c>
      <c r="G135" s="5">
        <v>0.7</v>
      </c>
      <c r="H135">
        <f>(C135/D135)*100</f>
        <v>2.3255813953488373</v>
      </c>
      <c r="I135" t="s">
        <v>117</v>
      </c>
      <c r="J135" t="s">
        <v>28</v>
      </c>
      <c r="K135" t="s">
        <v>15</v>
      </c>
    </row>
    <row r="136" spans="1:11">
      <c r="A136" s="2" t="s">
        <v>157</v>
      </c>
      <c r="B136" s="2" t="s">
        <v>157</v>
      </c>
      <c r="C136" s="3">
        <v>0</v>
      </c>
      <c r="D136" s="3"/>
      <c r="E136" s="5">
        <v>0</v>
      </c>
      <c r="F136" s="5">
        <v>76.599999999999994</v>
      </c>
      <c r="G136" s="5">
        <v>0</v>
      </c>
      <c r="H136" t="e">
        <f>(C136/D136)*100</f>
        <v>#DIV/0!</v>
      </c>
      <c r="I136" t="s">
        <v>117</v>
      </c>
      <c r="J136" t="s">
        <v>118</v>
      </c>
      <c r="K136" t="s">
        <v>125</v>
      </c>
    </row>
    <row r="137" spans="1:11">
      <c r="A137" s="2" t="s">
        <v>158</v>
      </c>
      <c r="B137" s="2" t="s">
        <v>158</v>
      </c>
      <c r="C137" s="3">
        <v>34</v>
      </c>
      <c r="D137" s="4">
        <v>4107</v>
      </c>
      <c r="E137" s="5">
        <v>4.4000000000000004</v>
      </c>
      <c r="F137" s="5">
        <v>67.2</v>
      </c>
      <c r="G137" s="5">
        <v>0.2</v>
      </c>
      <c r="H137">
        <f>(C137/D137)*100</f>
        <v>0.82785488190893586</v>
      </c>
      <c r="I137" t="s">
        <v>117</v>
      </c>
      <c r="J137" t="s">
        <v>28</v>
      </c>
      <c r="K137" t="s">
        <v>15</v>
      </c>
    </row>
    <row r="138" spans="1:11">
      <c r="A138" s="2" t="s">
        <v>159</v>
      </c>
      <c r="B138" s="2" t="s">
        <v>159</v>
      </c>
      <c r="C138" s="3">
        <v>2</v>
      </c>
      <c r="D138" s="4">
        <v>6910</v>
      </c>
      <c r="E138" s="5">
        <v>1.5</v>
      </c>
      <c r="F138" s="5">
        <v>87.2</v>
      </c>
      <c r="G138" s="5">
        <v>0</v>
      </c>
      <c r="H138">
        <f>(C138/D138)*100</f>
        <v>2.8943560057887119E-2</v>
      </c>
      <c r="I138" t="s">
        <v>117</v>
      </c>
      <c r="J138" t="s">
        <v>118</v>
      </c>
      <c r="K138" t="s">
        <v>15</v>
      </c>
    </row>
    <row r="139" spans="1:11">
      <c r="A139" s="2" t="s">
        <v>160</v>
      </c>
      <c r="B139" s="2" t="s">
        <v>160</v>
      </c>
      <c r="C139" s="3">
        <v>2</v>
      </c>
      <c r="D139" s="4">
        <v>590</v>
      </c>
      <c r="E139" s="5">
        <v>0</v>
      </c>
      <c r="F139" s="5">
        <v>95.7</v>
      </c>
      <c r="G139" s="5">
        <v>0.1</v>
      </c>
      <c r="H139">
        <f>(C139/D139)*100</f>
        <v>0.33898305084745761</v>
      </c>
      <c r="I139" t="s">
        <v>117</v>
      </c>
      <c r="J139" t="s">
        <v>118</v>
      </c>
      <c r="K139" t="s">
        <v>15</v>
      </c>
    </row>
    <row r="140" spans="1:11">
      <c r="A140" s="2" t="s">
        <v>161</v>
      </c>
      <c r="B140" s="2" t="s">
        <v>161</v>
      </c>
      <c r="C140" s="3">
        <v>0</v>
      </c>
      <c r="D140" s="3"/>
      <c r="E140" s="5">
        <v>0</v>
      </c>
      <c r="F140" s="5">
        <v>77.5</v>
      </c>
      <c r="G140" s="5">
        <v>0</v>
      </c>
      <c r="H140" t="e">
        <f>(C140/D140)*100</f>
        <v>#DIV/0!</v>
      </c>
      <c r="I140" t="s">
        <v>117</v>
      </c>
      <c r="J140" t="s">
        <v>118</v>
      </c>
      <c r="K140" t="s">
        <v>125</v>
      </c>
    </row>
    <row r="141" spans="1:11">
      <c r="A141" s="2" t="s">
        <v>162</v>
      </c>
      <c r="B141" s="2" t="s">
        <v>162</v>
      </c>
      <c r="C141" s="3">
        <v>42</v>
      </c>
      <c r="D141" s="4">
        <v>1531</v>
      </c>
      <c r="E141" s="5">
        <v>7.7</v>
      </c>
      <c r="F141" s="6">
        <v>0</v>
      </c>
      <c r="G141" s="5">
        <v>0.5</v>
      </c>
      <c r="H141">
        <f>(C141/D141)*100</f>
        <v>2.7433050293925536</v>
      </c>
      <c r="I141" t="s">
        <v>13</v>
      </c>
      <c r="J141" t="s">
        <v>14</v>
      </c>
      <c r="K141" t="s">
        <v>19</v>
      </c>
    </row>
    <row r="142" spans="1:11">
      <c r="A142" s="2" t="s">
        <v>163</v>
      </c>
      <c r="B142" s="2" t="s">
        <v>163</v>
      </c>
      <c r="C142" s="3">
        <v>53</v>
      </c>
      <c r="D142" s="4">
        <v>1810</v>
      </c>
      <c r="E142" s="5">
        <v>1.9</v>
      </c>
      <c r="F142" s="5">
        <v>70.099999999999994</v>
      </c>
      <c r="G142" s="5">
        <v>0.6</v>
      </c>
      <c r="H142">
        <f>(C142/D142)*100</f>
        <v>2.9281767955801103</v>
      </c>
      <c r="I142" t="s">
        <v>117</v>
      </c>
      <c r="J142" t="s">
        <v>118</v>
      </c>
      <c r="K142" t="s">
        <v>15</v>
      </c>
    </row>
    <row r="143" spans="1:11">
      <c r="A143" s="2" t="s">
        <v>164</v>
      </c>
      <c r="B143" s="2" t="s">
        <v>164</v>
      </c>
      <c r="C143" s="3">
        <v>2</v>
      </c>
      <c r="D143" s="4">
        <v>1074</v>
      </c>
      <c r="E143" s="5">
        <v>0</v>
      </c>
      <c r="F143" s="5">
        <v>74</v>
      </c>
      <c r="G143" s="5">
        <v>0.1</v>
      </c>
      <c r="H143">
        <f>(C143/D143)*100</f>
        <v>0.18621973929236499</v>
      </c>
      <c r="I143" t="s">
        <v>117</v>
      </c>
      <c r="J143" t="s">
        <v>118</v>
      </c>
      <c r="K143" t="s">
        <v>15</v>
      </c>
    </row>
    <row r="144" spans="1:11">
      <c r="A144" s="2" t="s">
        <v>165</v>
      </c>
      <c r="B144" s="2" t="s">
        <v>165</v>
      </c>
      <c r="C144" s="3">
        <v>0</v>
      </c>
      <c r="D144" s="3"/>
      <c r="E144" s="5">
        <v>0</v>
      </c>
      <c r="F144" s="5">
        <v>78.7</v>
      </c>
      <c r="G144" s="5">
        <v>0</v>
      </c>
      <c r="H144" t="e">
        <f>(C144/D144)*100</f>
        <v>#DIV/0!</v>
      </c>
      <c r="I144" t="s">
        <v>117</v>
      </c>
      <c r="J144" t="s">
        <v>118</v>
      </c>
      <c r="K144" t="s">
        <v>125</v>
      </c>
    </row>
    <row r="145" spans="1:11">
      <c r="A145" s="2" t="s">
        <v>166</v>
      </c>
      <c r="B145" s="2" t="s">
        <v>166</v>
      </c>
      <c r="C145" s="3">
        <v>0</v>
      </c>
      <c r="D145" s="4">
        <v>242</v>
      </c>
      <c r="E145" s="5">
        <v>0</v>
      </c>
      <c r="F145" s="6">
        <v>0</v>
      </c>
      <c r="G145" s="5">
        <v>0</v>
      </c>
      <c r="H145">
        <f>(C145/D145)*100</f>
        <v>0</v>
      </c>
      <c r="I145" t="s">
        <v>13</v>
      </c>
      <c r="J145" t="s">
        <v>14</v>
      </c>
      <c r="K145" t="s">
        <v>19</v>
      </c>
    </row>
    <row r="146" spans="1:11">
      <c r="A146" s="2" t="s">
        <v>167</v>
      </c>
      <c r="B146" s="2" t="s">
        <v>167</v>
      </c>
      <c r="C146" s="3">
        <v>17</v>
      </c>
      <c r="D146" s="4">
        <v>8167</v>
      </c>
      <c r="E146" s="5">
        <v>6.8</v>
      </c>
      <c r="F146" s="5">
        <v>72</v>
      </c>
      <c r="G146" s="5">
        <v>0</v>
      </c>
      <c r="H146">
        <f>(C146/D146)*100</f>
        <v>0.20815476919309417</v>
      </c>
      <c r="I146" t="s">
        <v>117</v>
      </c>
      <c r="J146" t="s">
        <v>28</v>
      </c>
      <c r="K146" t="s">
        <v>15</v>
      </c>
    </row>
    <row r="147" spans="1:11">
      <c r="A147" s="2" t="s">
        <v>168</v>
      </c>
      <c r="B147" s="2" t="s">
        <v>168</v>
      </c>
      <c r="C147" s="3">
        <v>6</v>
      </c>
      <c r="D147" s="4">
        <v>991</v>
      </c>
      <c r="E147" s="5">
        <v>0</v>
      </c>
      <c r="F147" s="5">
        <v>77.2</v>
      </c>
      <c r="G147" s="5">
        <v>0</v>
      </c>
      <c r="H147">
        <f>(C147/D147)*100</f>
        <v>0.60544904137235112</v>
      </c>
      <c r="I147" t="s">
        <v>117</v>
      </c>
      <c r="J147" t="s">
        <v>118</v>
      </c>
      <c r="K147" t="s">
        <v>15</v>
      </c>
    </row>
    <row r="148" spans="1:11">
      <c r="A148" s="2" t="s">
        <v>169</v>
      </c>
      <c r="B148" s="2" t="s">
        <v>169</v>
      </c>
      <c r="C148" s="3">
        <v>0</v>
      </c>
      <c r="D148" s="4">
        <v>1848</v>
      </c>
      <c r="E148" s="5">
        <v>9.5</v>
      </c>
      <c r="F148" s="5">
        <v>86.7</v>
      </c>
      <c r="G148" s="5">
        <v>0</v>
      </c>
      <c r="H148">
        <f>(C148/D148)*100</f>
        <v>0</v>
      </c>
      <c r="I148" t="s">
        <v>117</v>
      </c>
      <c r="J148" t="s">
        <v>28</v>
      </c>
      <c r="K148" t="s">
        <v>15</v>
      </c>
    </row>
    <row r="149" spans="1:11">
      <c r="A149" s="2" t="s">
        <v>170</v>
      </c>
      <c r="B149" s="2" t="s">
        <v>170</v>
      </c>
      <c r="C149" s="3">
        <v>166</v>
      </c>
      <c r="D149" s="4">
        <v>549</v>
      </c>
      <c r="E149" s="5">
        <v>0</v>
      </c>
      <c r="F149" s="6">
        <v>0</v>
      </c>
      <c r="G149" s="5">
        <v>4.0999999999999996</v>
      </c>
      <c r="H149">
        <f>(C149/D149)*100</f>
        <v>30.236794171220399</v>
      </c>
      <c r="I149" t="s">
        <v>13</v>
      </c>
      <c r="J149" t="s">
        <v>14</v>
      </c>
      <c r="K149" t="s">
        <v>19</v>
      </c>
    </row>
    <row r="150" spans="1:11">
      <c r="A150" s="2" t="s">
        <v>171</v>
      </c>
      <c r="B150" s="2" t="s">
        <v>171</v>
      </c>
      <c r="C150" s="3">
        <v>9</v>
      </c>
      <c r="D150" s="4">
        <v>1408</v>
      </c>
      <c r="E150" s="5">
        <v>0</v>
      </c>
      <c r="F150" s="5">
        <v>85.2</v>
      </c>
      <c r="G150" s="5">
        <v>0.1</v>
      </c>
      <c r="H150">
        <f>(C150/D150)*100</f>
        <v>0.63920454545454553</v>
      </c>
      <c r="I150" t="s">
        <v>117</v>
      </c>
      <c r="J150" t="s">
        <v>118</v>
      </c>
      <c r="K150" t="s">
        <v>15</v>
      </c>
    </row>
    <row r="151" spans="1:11">
      <c r="A151" s="2" t="s">
        <v>172</v>
      </c>
      <c r="B151" s="2" t="s">
        <v>172</v>
      </c>
      <c r="C151" s="3">
        <v>3</v>
      </c>
      <c r="D151" s="4">
        <v>189</v>
      </c>
      <c r="E151" s="5">
        <v>0</v>
      </c>
      <c r="F151" s="6">
        <v>0</v>
      </c>
      <c r="G151" s="5">
        <v>0.3</v>
      </c>
      <c r="H151">
        <f>(C151/D151)*100</f>
        <v>1.5873015873015872</v>
      </c>
      <c r="I151" t="s">
        <v>13</v>
      </c>
      <c r="J151" t="s">
        <v>14</v>
      </c>
      <c r="K151" t="s">
        <v>19</v>
      </c>
    </row>
    <row r="152" spans="1:11">
      <c r="A152" s="2" t="s">
        <v>173</v>
      </c>
      <c r="B152" s="2" t="s">
        <v>173</v>
      </c>
      <c r="C152" s="3">
        <v>600</v>
      </c>
      <c r="D152" s="4">
        <v>5636</v>
      </c>
      <c r="E152" s="5">
        <v>11.5</v>
      </c>
      <c r="F152" s="6">
        <v>0</v>
      </c>
      <c r="G152" s="5">
        <v>2.6</v>
      </c>
      <c r="H152">
        <f>(C152/D152)*100</f>
        <v>10.645848119233499</v>
      </c>
      <c r="I152" t="s">
        <v>13</v>
      </c>
      <c r="J152" t="s">
        <v>14</v>
      </c>
      <c r="K152" t="s">
        <v>19</v>
      </c>
    </row>
    <row r="153" spans="1:11">
      <c r="A153" s="2" t="s">
        <v>174</v>
      </c>
      <c r="B153" s="2" t="s">
        <v>174</v>
      </c>
      <c r="C153" s="3">
        <v>12</v>
      </c>
      <c r="D153" s="4">
        <v>195</v>
      </c>
      <c r="E153" s="5">
        <v>0</v>
      </c>
      <c r="F153" s="6">
        <v>0</v>
      </c>
      <c r="G153" s="5">
        <v>1</v>
      </c>
      <c r="H153">
        <f>(C153/D153)*100</f>
        <v>6.1538461538461542</v>
      </c>
      <c r="I153" t="s">
        <v>13</v>
      </c>
      <c r="J153" t="s">
        <v>14</v>
      </c>
      <c r="K153" t="s">
        <v>19</v>
      </c>
    </row>
    <row r="154" spans="1:11">
      <c r="A154" s="2" t="s">
        <v>175</v>
      </c>
      <c r="B154" s="2" t="s">
        <v>175</v>
      </c>
      <c r="C154" s="3">
        <v>1811</v>
      </c>
      <c r="D154" s="4">
        <v>31482</v>
      </c>
      <c r="E154" s="5">
        <v>20</v>
      </c>
      <c r="F154" s="6">
        <v>0</v>
      </c>
      <c r="G154" s="5">
        <v>1.6</v>
      </c>
      <c r="H154">
        <f>(C154/D154)*100</f>
        <v>5.7524934883425454</v>
      </c>
      <c r="I154" t="s">
        <v>13</v>
      </c>
      <c r="J154" t="s">
        <v>14</v>
      </c>
      <c r="K154" t="s">
        <v>19</v>
      </c>
    </row>
    <row r="155" spans="1:11">
      <c r="A155" s="2" t="s">
        <v>176</v>
      </c>
      <c r="B155" s="2" t="s">
        <v>176</v>
      </c>
      <c r="C155" s="3">
        <v>1</v>
      </c>
      <c r="D155" s="4">
        <v>3797</v>
      </c>
      <c r="E155" s="5">
        <v>9.6999999999999993</v>
      </c>
      <c r="F155" s="5">
        <v>68.2</v>
      </c>
      <c r="G155" s="5">
        <v>0</v>
      </c>
      <c r="H155">
        <f>(C155/D155)*100</f>
        <v>2.6336581511719779E-2</v>
      </c>
      <c r="I155" t="s">
        <v>117</v>
      </c>
      <c r="J155" t="s">
        <v>28</v>
      </c>
      <c r="K155" t="s">
        <v>15</v>
      </c>
    </row>
    <row r="156" spans="1:11">
      <c r="A156" s="2" t="s">
        <v>177</v>
      </c>
      <c r="B156" s="2" t="s">
        <v>177</v>
      </c>
      <c r="C156" s="3">
        <v>0</v>
      </c>
      <c r="D156" s="4">
        <v>1217</v>
      </c>
      <c r="E156" s="5">
        <v>15.2</v>
      </c>
      <c r="F156" s="5">
        <v>84.5</v>
      </c>
      <c r="G156" s="5">
        <v>0</v>
      </c>
      <c r="H156">
        <f>(C156/D156)*100</f>
        <v>0</v>
      </c>
      <c r="I156" t="s">
        <v>117</v>
      </c>
      <c r="J156" t="s">
        <v>28</v>
      </c>
      <c r="K156" t="s">
        <v>15</v>
      </c>
    </row>
    <row r="157" spans="1:11">
      <c r="A157" s="2" t="s">
        <v>178</v>
      </c>
      <c r="B157" s="2" t="s">
        <v>178</v>
      </c>
      <c r="C157" s="3">
        <v>0</v>
      </c>
      <c r="D157" s="4">
        <v>2511</v>
      </c>
      <c r="E157" s="5">
        <v>9</v>
      </c>
      <c r="F157" s="5">
        <v>70.599999999999994</v>
      </c>
      <c r="G157" s="5">
        <v>0</v>
      </c>
      <c r="H157">
        <f>(C157/D157)*100</f>
        <v>0</v>
      </c>
      <c r="I157" t="s">
        <v>117</v>
      </c>
      <c r="J157" t="s">
        <v>28</v>
      </c>
      <c r="K157" t="s">
        <v>15</v>
      </c>
    </row>
    <row r="158" spans="1:11">
      <c r="A158" s="2" t="s">
        <v>179</v>
      </c>
      <c r="B158" s="2" t="s">
        <v>179</v>
      </c>
      <c r="C158" s="3">
        <v>20</v>
      </c>
      <c r="D158" s="4">
        <v>4692</v>
      </c>
      <c r="E158" s="5">
        <v>5.0999999999999996</v>
      </c>
      <c r="F158" s="5">
        <v>71.099999999999994</v>
      </c>
      <c r="G158" s="5">
        <v>0</v>
      </c>
      <c r="H158">
        <f>(C158/D158)*100</f>
        <v>0.42625745950554139</v>
      </c>
      <c r="I158" t="s">
        <v>117</v>
      </c>
      <c r="J158" t="s">
        <v>28</v>
      </c>
      <c r="K158" t="s">
        <v>15</v>
      </c>
    </row>
    <row r="159" spans="1:11">
      <c r="A159" s="2" t="s">
        <v>180</v>
      </c>
      <c r="B159" s="2" t="s">
        <v>180</v>
      </c>
      <c r="C159" s="3">
        <v>4</v>
      </c>
      <c r="D159" s="4">
        <v>2623</v>
      </c>
      <c r="E159" s="5">
        <v>16.3</v>
      </c>
      <c r="F159" s="5">
        <v>83.2</v>
      </c>
      <c r="G159" s="5">
        <v>0</v>
      </c>
      <c r="H159">
        <f>(C159/D159)*100</f>
        <v>0.15249714067861228</v>
      </c>
      <c r="I159" t="s">
        <v>117</v>
      </c>
      <c r="J159" t="s">
        <v>28</v>
      </c>
      <c r="K159" t="s">
        <v>15</v>
      </c>
    </row>
    <row r="160" spans="1:11">
      <c r="A160" s="2" t="s">
        <v>181</v>
      </c>
      <c r="B160" s="2" t="s">
        <v>181</v>
      </c>
      <c r="C160" s="3"/>
      <c r="D160" s="3"/>
      <c r="E160" s="3"/>
      <c r="F160" s="3"/>
      <c r="G160" s="3"/>
      <c r="H160" t="e">
        <f>(C160/D160)*100</f>
        <v>#DIV/0!</v>
      </c>
      <c r="I160" t="s">
        <v>117</v>
      </c>
      <c r="J160" t="s">
        <v>118</v>
      </c>
      <c r="K160" t="s">
        <v>125</v>
      </c>
    </row>
    <row r="161" spans="1:11">
      <c r="A161" s="2" t="s">
        <v>182</v>
      </c>
      <c r="B161" s="2" t="s">
        <v>182</v>
      </c>
      <c r="C161" s="3">
        <v>11</v>
      </c>
      <c r="D161" s="4">
        <v>720</v>
      </c>
      <c r="E161" s="5">
        <v>7.7</v>
      </c>
      <c r="F161" s="6">
        <v>12.6</v>
      </c>
      <c r="G161" s="5">
        <v>0.4</v>
      </c>
      <c r="H161">
        <f>(C161/D161)*100</f>
        <v>1.5277777777777777</v>
      </c>
      <c r="I161" t="s">
        <v>13</v>
      </c>
      <c r="J161" t="s">
        <v>14</v>
      </c>
      <c r="K161" t="s">
        <v>19</v>
      </c>
    </row>
    <row r="162" spans="1:11">
      <c r="A162" s="2" t="s">
        <v>183</v>
      </c>
      <c r="B162" s="2" t="s">
        <v>183</v>
      </c>
      <c r="C162" s="3">
        <v>11</v>
      </c>
      <c r="D162" s="4">
        <v>469</v>
      </c>
      <c r="E162" s="5">
        <v>2.2000000000000002</v>
      </c>
      <c r="F162" s="6">
        <v>0</v>
      </c>
      <c r="G162" s="5">
        <v>0.7</v>
      </c>
      <c r="H162">
        <f>(C162/D162)*100</f>
        <v>2.3454157782515992</v>
      </c>
      <c r="I162" t="s">
        <v>13</v>
      </c>
      <c r="J162" t="s">
        <v>14</v>
      </c>
      <c r="K162" t="s">
        <v>19</v>
      </c>
    </row>
    <row r="163" spans="1:11">
      <c r="A163" s="2" t="s">
        <v>184</v>
      </c>
      <c r="B163" s="2" t="s">
        <v>184</v>
      </c>
      <c r="C163" s="3"/>
      <c r="D163" s="3"/>
      <c r="E163" s="3"/>
      <c r="F163" s="3"/>
      <c r="G163" s="3"/>
      <c r="H163" t="e">
        <f>(C163/D163)*100</f>
        <v>#DIV/0!</v>
      </c>
      <c r="I163" t="s">
        <v>117</v>
      </c>
      <c r="J163" t="s">
        <v>118</v>
      </c>
      <c r="K163" t="s">
        <v>125</v>
      </c>
    </row>
    <row r="164" spans="1:11">
      <c r="A164" s="2" t="s">
        <v>185</v>
      </c>
      <c r="B164" s="2" t="s">
        <v>185</v>
      </c>
      <c r="C164" s="3"/>
      <c r="D164" s="3"/>
      <c r="E164" s="3"/>
      <c r="F164" s="3"/>
      <c r="G164" s="3"/>
      <c r="H164" t="e">
        <f>(C164/D164)*100</f>
        <v>#DIV/0!</v>
      </c>
      <c r="I164" t="s">
        <v>117</v>
      </c>
      <c r="J164" t="s">
        <v>118</v>
      </c>
      <c r="K164" t="s">
        <v>125</v>
      </c>
    </row>
    <row r="165" spans="1:11">
      <c r="A165" s="2" t="s">
        <v>186</v>
      </c>
      <c r="B165" s="2" t="s">
        <v>186</v>
      </c>
      <c r="C165" s="3">
        <v>612</v>
      </c>
      <c r="D165" s="4">
        <v>67668</v>
      </c>
      <c r="E165" s="5">
        <v>2.4</v>
      </c>
      <c r="F165" s="6">
        <v>0</v>
      </c>
      <c r="G165" s="5">
        <v>0.1</v>
      </c>
      <c r="H165">
        <f>(C165/D165)*100</f>
        <v>0.90441567653839328</v>
      </c>
      <c r="I165" t="s">
        <v>13</v>
      </c>
      <c r="J165" t="s">
        <v>14</v>
      </c>
      <c r="K165" t="s">
        <v>19</v>
      </c>
    </row>
    <row r="166" spans="1:11">
      <c r="A166" s="2" t="s">
        <v>187</v>
      </c>
      <c r="B166" s="2" t="s">
        <v>187</v>
      </c>
      <c r="C166" s="3"/>
      <c r="D166" s="3"/>
      <c r="E166" s="3"/>
      <c r="F166" s="3"/>
      <c r="G166" s="3"/>
      <c r="H166" t="e">
        <f>(C166/D166)*100</f>
        <v>#DIV/0!</v>
      </c>
      <c r="I166" t="s">
        <v>117</v>
      </c>
      <c r="J166" t="s">
        <v>118</v>
      </c>
      <c r="K166" t="s">
        <v>125</v>
      </c>
    </row>
    <row r="167" spans="1:11">
      <c r="A167" s="2" t="s">
        <v>188</v>
      </c>
      <c r="B167" s="2" t="s">
        <v>188</v>
      </c>
      <c r="C167" s="3">
        <v>4</v>
      </c>
      <c r="D167" s="4">
        <v>222</v>
      </c>
      <c r="E167" s="5">
        <v>0</v>
      </c>
      <c r="F167" s="6">
        <v>0</v>
      </c>
      <c r="G167" s="5">
        <v>0.3</v>
      </c>
      <c r="H167">
        <f>(C167/D167)*100</f>
        <v>1.8018018018018018</v>
      </c>
      <c r="I167" t="s">
        <v>13</v>
      </c>
      <c r="J167" t="s">
        <v>14</v>
      </c>
      <c r="K167" t="s">
        <v>19</v>
      </c>
    </row>
    <row r="168" spans="1:11">
      <c r="A168" s="2" t="s">
        <v>189</v>
      </c>
      <c r="B168" s="2" t="s">
        <v>189</v>
      </c>
      <c r="C168" s="3">
        <v>1</v>
      </c>
      <c r="D168" s="4">
        <v>3621</v>
      </c>
      <c r="E168" s="5">
        <v>0</v>
      </c>
      <c r="F168" s="5">
        <v>84.4</v>
      </c>
      <c r="G168" s="5">
        <v>0</v>
      </c>
      <c r="H168">
        <f>(C168/D168)*100</f>
        <v>2.7616680475006903E-2</v>
      </c>
      <c r="I168" t="s">
        <v>117</v>
      </c>
      <c r="J168" t="s">
        <v>118</v>
      </c>
      <c r="K168" t="s">
        <v>15</v>
      </c>
    </row>
    <row r="169" spans="1:11">
      <c r="A169" s="2" t="s">
        <v>190</v>
      </c>
      <c r="B169" s="2" t="s">
        <v>190</v>
      </c>
      <c r="C169" s="3">
        <v>0</v>
      </c>
      <c r="D169" s="4">
        <v>3466</v>
      </c>
      <c r="E169" s="5">
        <v>1.5</v>
      </c>
      <c r="F169" s="5">
        <v>83.8</v>
      </c>
      <c r="G169" s="5">
        <v>0</v>
      </c>
      <c r="H169">
        <f>(C169/D169)*100</f>
        <v>0</v>
      </c>
      <c r="I169" t="s">
        <v>117</v>
      </c>
      <c r="J169" t="s">
        <v>118</v>
      </c>
      <c r="K169" t="s">
        <v>15</v>
      </c>
    </row>
    <row r="170" spans="1:11">
      <c r="A170" s="2" t="s">
        <v>191</v>
      </c>
      <c r="B170" s="2" t="s">
        <v>191</v>
      </c>
      <c r="C170" s="3">
        <v>1</v>
      </c>
      <c r="D170" s="4">
        <v>1225</v>
      </c>
      <c r="E170" s="5">
        <v>0</v>
      </c>
      <c r="F170" s="5">
        <v>91.9</v>
      </c>
      <c r="G170" s="5">
        <v>0</v>
      </c>
      <c r="H170">
        <f>(C170/D170)*100</f>
        <v>8.1632653061224497E-2</v>
      </c>
      <c r="I170" t="s">
        <v>117</v>
      </c>
      <c r="J170" t="s">
        <v>118</v>
      </c>
      <c r="K170" t="s">
        <v>15</v>
      </c>
    </row>
    <row r="171" spans="1:11">
      <c r="A171" s="2" t="s">
        <v>192</v>
      </c>
      <c r="B171" s="2" t="s">
        <v>192</v>
      </c>
      <c r="C171" s="3">
        <v>7</v>
      </c>
      <c r="D171" s="4">
        <v>1501</v>
      </c>
      <c r="E171" s="5">
        <v>16.600000000000001</v>
      </c>
      <c r="F171" s="6">
        <v>0</v>
      </c>
      <c r="G171" s="5">
        <v>0.1</v>
      </c>
      <c r="H171">
        <f>(C171/D171)*100</f>
        <v>0.46635576282478342</v>
      </c>
      <c r="I171" t="s">
        <v>13</v>
      </c>
      <c r="J171" t="s">
        <v>14</v>
      </c>
      <c r="K171" t="s">
        <v>19</v>
      </c>
    </row>
    <row r="172" spans="1:11">
      <c r="A172" s="2" t="s">
        <v>193</v>
      </c>
      <c r="B172" s="2" t="s">
        <v>193</v>
      </c>
      <c r="C172" s="3">
        <v>0</v>
      </c>
      <c r="D172" s="4">
        <v>1475</v>
      </c>
      <c r="E172" s="5">
        <v>0</v>
      </c>
      <c r="F172" s="5">
        <v>85.9</v>
      </c>
      <c r="G172" s="5">
        <v>0</v>
      </c>
      <c r="H172">
        <f>(C172/D172)*100</f>
        <v>0</v>
      </c>
      <c r="I172" t="s">
        <v>117</v>
      </c>
      <c r="J172" t="s">
        <v>118</v>
      </c>
      <c r="K172" t="s">
        <v>15</v>
      </c>
    </row>
    <row r="173" spans="1:11">
      <c r="A173" s="2" t="s">
        <v>194</v>
      </c>
      <c r="B173" s="2" t="s">
        <v>194</v>
      </c>
      <c r="C173" s="3">
        <v>0</v>
      </c>
      <c r="D173" s="4">
        <v>2323</v>
      </c>
      <c r="E173" s="5">
        <v>11</v>
      </c>
      <c r="F173" s="5">
        <v>82</v>
      </c>
      <c r="G173" s="5">
        <v>0</v>
      </c>
      <c r="H173">
        <f>(C173/D173)*100</f>
        <v>0</v>
      </c>
      <c r="I173" t="s">
        <v>117</v>
      </c>
      <c r="J173" t="s">
        <v>28</v>
      </c>
      <c r="K173" t="s">
        <v>15</v>
      </c>
    </row>
    <row r="174" spans="1:11">
      <c r="A174" s="2" t="s">
        <v>195</v>
      </c>
      <c r="B174" s="2" t="s">
        <v>195</v>
      </c>
      <c r="C174" s="3">
        <v>0</v>
      </c>
      <c r="D174" s="4">
        <v>1385</v>
      </c>
      <c r="E174" s="5">
        <v>0</v>
      </c>
      <c r="F174" s="5">
        <v>88.3</v>
      </c>
      <c r="G174" s="5">
        <v>0</v>
      </c>
      <c r="H174">
        <f>(C174/D174)*100</f>
        <v>0</v>
      </c>
      <c r="I174" t="s">
        <v>117</v>
      </c>
      <c r="J174" t="s">
        <v>118</v>
      </c>
      <c r="K174" t="s">
        <v>15</v>
      </c>
    </row>
    <row r="175" spans="1:11">
      <c r="A175" s="2" t="s">
        <v>196</v>
      </c>
      <c r="B175" s="2" t="s">
        <v>196</v>
      </c>
      <c r="C175" s="3">
        <v>143</v>
      </c>
      <c r="D175" s="4">
        <v>1670</v>
      </c>
      <c r="E175" s="5">
        <v>4.8</v>
      </c>
      <c r="F175" s="6">
        <v>0</v>
      </c>
      <c r="G175" s="5">
        <v>2.2000000000000002</v>
      </c>
      <c r="H175">
        <f>(C175/D175)*100</f>
        <v>8.5628742514970053</v>
      </c>
      <c r="I175" t="s">
        <v>13</v>
      </c>
      <c r="J175" t="s">
        <v>14</v>
      </c>
      <c r="K175" t="s">
        <v>19</v>
      </c>
    </row>
    <row r="176" spans="1:11">
      <c r="A176" s="2" t="s">
        <v>197</v>
      </c>
      <c r="B176" s="2" t="s">
        <v>197</v>
      </c>
      <c r="C176" s="3">
        <v>0</v>
      </c>
      <c r="D176" s="4">
        <v>362</v>
      </c>
      <c r="E176" s="5">
        <v>0</v>
      </c>
      <c r="F176" s="5">
        <v>100</v>
      </c>
      <c r="G176" s="5">
        <v>0</v>
      </c>
      <c r="H176">
        <f>(C176/D176)*100</f>
        <v>0</v>
      </c>
      <c r="I176" t="s">
        <v>117</v>
      </c>
      <c r="J176" t="s">
        <v>118</v>
      </c>
      <c r="K176" t="s">
        <v>15</v>
      </c>
    </row>
    <row r="177" spans="1:11">
      <c r="A177" s="2" t="s">
        <v>198</v>
      </c>
      <c r="B177" s="2" t="s">
        <v>198</v>
      </c>
      <c r="C177" s="3">
        <v>2</v>
      </c>
      <c r="D177" s="4">
        <v>399</v>
      </c>
      <c r="E177" s="5">
        <v>7.5</v>
      </c>
      <c r="F177" s="5">
        <v>94.6</v>
      </c>
      <c r="G177" s="5">
        <v>0.1</v>
      </c>
      <c r="H177">
        <f>(C177/D177)*100</f>
        <v>0.50125313283208017</v>
      </c>
      <c r="I177" t="s">
        <v>117</v>
      </c>
      <c r="J177" t="s">
        <v>28</v>
      </c>
      <c r="K177" t="s">
        <v>15</v>
      </c>
    </row>
    <row r="178" spans="1:11">
      <c r="A178" s="2" t="s">
        <v>199</v>
      </c>
      <c r="B178" s="2" t="s">
        <v>199</v>
      </c>
      <c r="C178" s="3">
        <v>14</v>
      </c>
      <c r="D178" s="4">
        <v>339</v>
      </c>
      <c r="E178" s="5">
        <v>17</v>
      </c>
      <c r="F178" s="6">
        <v>0</v>
      </c>
      <c r="G178" s="5">
        <v>0.7</v>
      </c>
      <c r="H178">
        <f>(C178/D178)*100</f>
        <v>4.1297935103244834</v>
      </c>
      <c r="I178" t="s">
        <v>13</v>
      </c>
      <c r="J178" t="s">
        <v>14</v>
      </c>
      <c r="K178" t="s">
        <v>19</v>
      </c>
    </row>
    <row r="179" spans="1:11">
      <c r="A179" s="2" t="s">
        <v>200</v>
      </c>
      <c r="B179" s="2" t="s">
        <v>200</v>
      </c>
      <c r="C179" s="3">
        <v>7</v>
      </c>
      <c r="D179" s="4">
        <v>8247</v>
      </c>
      <c r="E179" s="5">
        <v>0.6</v>
      </c>
      <c r="F179" s="6">
        <v>0</v>
      </c>
      <c r="G179" s="5">
        <v>0</v>
      </c>
      <c r="H179">
        <f>(C179/D179)*100</f>
        <v>8.4879350066690923E-2</v>
      </c>
      <c r="I179" t="s">
        <v>13</v>
      </c>
      <c r="J179" t="s">
        <v>14</v>
      </c>
      <c r="K179" t="s">
        <v>19</v>
      </c>
    </row>
    <row r="180" spans="1:11">
      <c r="A180" s="2" t="s">
        <v>201</v>
      </c>
      <c r="B180" s="2" t="s">
        <v>201</v>
      </c>
      <c r="C180" s="3">
        <v>1</v>
      </c>
      <c r="D180" s="4">
        <v>672</v>
      </c>
      <c r="E180" s="5">
        <v>4.4000000000000004</v>
      </c>
      <c r="F180" s="5">
        <v>88.6</v>
      </c>
      <c r="G180" s="5">
        <v>0</v>
      </c>
      <c r="H180">
        <f>(C180/D180)*100</f>
        <v>0.14880952380952381</v>
      </c>
      <c r="I180" t="s">
        <v>117</v>
      </c>
      <c r="J180" t="s">
        <v>28</v>
      </c>
      <c r="K180" t="s">
        <v>15</v>
      </c>
    </row>
    <row r="181" spans="1:11">
      <c r="A181" s="2" t="s">
        <v>202</v>
      </c>
      <c r="B181" s="2" t="s">
        <v>202</v>
      </c>
      <c r="C181" s="3">
        <v>5</v>
      </c>
      <c r="D181" s="4">
        <v>1175</v>
      </c>
      <c r="E181" s="5">
        <v>8.4</v>
      </c>
      <c r="F181" s="5">
        <v>82.6</v>
      </c>
      <c r="G181" s="5">
        <v>0.1</v>
      </c>
      <c r="H181">
        <f>(C181/D181)*100</f>
        <v>0.42553191489361702</v>
      </c>
      <c r="I181" t="s">
        <v>117</v>
      </c>
      <c r="J181" t="s">
        <v>28</v>
      </c>
      <c r="K181" t="s">
        <v>15</v>
      </c>
    </row>
    <row r="182" spans="1:11">
      <c r="A182" s="2" t="s">
        <v>203</v>
      </c>
      <c r="B182" s="2" t="s">
        <v>203</v>
      </c>
      <c r="C182" s="3">
        <v>0</v>
      </c>
      <c r="D182" s="3"/>
      <c r="E182" s="5">
        <v>0</v>
      </c>
      <c r="F182" s="3"/>
      <c r="G182" s="5">
        <v>0</v>
      </c>
      <c r="H182" t="e">
        <f>(C182/D182)*100</f>
        <v>#DIV/0!</v>
      </c>
      <c r="I182" t="s">
        <v>117</v>
      </c>
      <c r="J182" t="s">
        <v>118</v>
      </c>
      <c r="K182" t="s">
        <v>125</v>
      </c>
    </row>
    <row r="183" spans="1:11">
      <c r="A183" s="2" t="s">
        <v>204</v>
      </c>
      <c r="B183" s="2" t="s">
        <v>204</v>
      </c>
      <c r="C183" s="3">
        <v>260</v>
      </c>
      <c r="D183" s="4">
        <v>10191</v>
      </c>
      <c r="E183" s="5">
        <v>13.2</v>
      </c>
      <c r="F183" s="6">
        <v>28.4</v>
      </c>
      <c r="G183" s="5">
        <v>0.6</v>
      </c>
      <c r="H183">
        <f>(C183/D183)*100</f>
        <v>2.5512707290746737</v>
      </c>
      <c r="I183" t="s">
        <v>13</v>
      </c>
      <c r="J183" t="s">
        <v>14</v>
      </c>
      <c r="K183" t="s">
        <v>19</v>
      </c>
    </row>
    <row r="184" spans="1:11">
      <c r="A184" s="2" t="s">
        <v>205</v>
      </c>
      <c r="B184" s="2" t="s">
        <v>205</v>
      </c>
      <c r="C184" s="3">
        <v>0</v>
      </c>
      <c r="D184" s="4">
        <v>205</v>
      </c>
      <c r="E184" s="5">
        <v>0</v>
      </c>
      <c r="F184" s="5">
        <v>81.5</v>
      </c>
      <c r="G184" s="5">
        <v>0</v>
      </c>
      <c r="H184">
        <f>(C184/D184)*100</f>
        <v>0</v>
      </c>
      <c r="I184" t="s">
        <v>117</v>
      </c>
      <c r="J184" t="s">
        <v>118</v>
      </c>
      <c r="K184" t="s">
        <v>15</v>
      </c>
    </row>
    <row r="185" spans="1:11">
      <c r="A185" s="2" t="s">
        <v>206</v>
      </c>
      <c r="B185" s="2" t="s">
        <v>206</v>
      </c>
      <c r="C185" s="3">
        <v>0</v>
      </c>
      <c r="D185" s="4">
        <v>439</v>
      </c>
      <c r="E185" s="5">
        <v>0</v>
      </c>
      <c r="F185" s="5">
        <v>83.2</v>
      </c>
      <c r="G185" s="5">
        <v>0</v>
      </c>
      <c r="H185">
        <f>(C185/D185)*100</f>
        <v>0</v>
      </c>
      <c r="I185" t="s">
        <v>117</v>
      </c>
      <c r="J185" t="s">
        <v>118</v>
      </c>
      <c r="K185" t="s">
        <v>15</v>
      </c>
    </row>
    <row r="186" spans="1:11">
      <c r="A186" s="2" t="s">
        <v>207</v>
      </c>
      <c r="B186" s="2" t="s">
        <v>207</v>
      </c>
      <c r="C186" s="3">
        <v>0</v>
      </c>
      <c r="D186" s="3"/>
      <c r="E186" s="5">
        <v>0</v>
      </c>
      <c r="F186" s="3"/>
      <c r="G186" s="5">
        <v>0</v>
      </c>
      <c r="H186" t="e">
        <f>(C186/D186)*100</f>
        <v>#DIV/0!</v>
      </c>
      <c r="I186" t="s">
        <v>117</v>
      </c>
      <c r="J186" t="s">
        <v>118</v>
      </c>
      <c r="K186" t="s">
        <v>125</v>
      </c>
    </row>
    <row r="187" spans="1:11">
      <c r="A187" s="2" t="s">
        <v>208</v>
      </c>
      <c r="B187" s="2" t="s">
        <v>208</v>
      </c>
      <c r="C187" s="3">
        <v>40</v>
      </c>
      <c r="D187" s="4">
        <v>58376</v>
      </c>
      <c r="E187" s="5">
        <v>0</v>
      </c>
      <c r="F187" s="5">
        <v>85</v>
      </c>
      <c r="G187" s="5">
        <v>0</v>
      </c>
      <c r="H187">
        <f>(C187/D187)*100</f>
        <v>6.8521310127449636E-2</v>
      </c>
      <c r="I187" t="s">
        <v>117</v>
      </c>
      <c r="J187" t="s">
        <v>118</v>
      </c>
      <c r="K187" t="s">
        <v>15</v>
      </c>
    </row>
    <row r="188" spans="1:11">
      <c r="A188" s="2" t="s">
        <v>209</v>
      </c>
      <c r="B188" s="2" t="s">
        <v>209</v>
      </c>
      <c r="C188" s="3">
        <v>9</v>
      </c>
      <c r="D188" s="4">
        <v>312</v>
      </c>
      <c r="E188" s="5">
        <v>0</v>
      </c>
      <c r="F188" s="3"/>
      <c r="G188" s="5">
        <v>0.5</v>
      </c>
      <c r="H188">
        <f>(C188/D188)*100</f>
        <v>2.8846153846153846</v>
      </c>
      <c r="I188" t="s">
        <v>117</v>
      </c>
      <c r="J188" t="s">
        <v>118</v>
      </c>
      <c r="K188" t="s">
        <v>15</v>
      </c>
    </row>
    <row r="189" spans="1:11">
      <c r="A189" s="2" t="s">
        <v>210</v>
      </c>
      <c r="B189" s="2" t="s">
        <v>210</v>
      </c>
      <c r="C189" s="3">
        <v>0</v>
      </c>
      <c r="D189" s="4">
        <v>2083</v>
      </c>
      <c r="E189" s="5">
        <v>0</v>
      </c>
      <c r="F189" s="5">
        <v>68.8</v>
      </c>
      <c r="G189" s="5">
        <v>0</v>
      </c>
      <c r="H189">
        <f>(C189/D189)*100</f>
        <v>0</v>
      </c>
      <c r="I189" t="s">
        <v>117</v>
      </c>
      <c r="J189" t="s">
        <v>118</v>
      </c>
      <c r="K189" t="s">
        <v>15</v>
      </c>
    </row>
    <row r="190" spans="1:11">
      <c r="A190" s="2" t="s">
        <v>211</v>
      </c>
      <c r="B190" s="2" t="s">
        <v>211</v>
      </c>
      <c r="C190" s="3">
        <v>85</v>
      </c>
      <c r="D190" s="4">
        <v>3862</v>
      </c>
      <c r="E190" s="5">
        <v>0</v>
      </c>
      <c r="F190" s="5">
        <v>69.3</v>
      </c>
      <c r="G190" s="5">
        <v>0.3</v>
      </c>
      <c r="H190">
        <f>(C190/D190)*100</f>
        <v>2.2009321595028482</v>
      </c>
      <c r="I190" t="s">
        <v>117</v>
      </c>
      <c r="J190" t="s">
        <v>118</v>
      </c>
      <c r="K190" t="s">
        <v>15</v>
      </c>
    </row>
    <row r="191" spans="1:11">
      <c r="A191" s="2" t="s">
        <v>212</v>
      </c>
      <c r="B191" s="2" t="s">
        <v>212</v>
      </c>
      <c r="C191" s="3">
        <v>2</v>
      </c>
      <c r="D191" s="4">
        <v>3769</v>
      </c>
      <c r="E191" s="5">
        <v>4.5</v>
      </c>
      <c r="F191" s="5">
        <v>76</v>
      </c>
      <c r="G191" s="5">
        <v>0</v>
      </c>
      <c r="H191">
        <f>(C191/D191)*100</f>
        <v>5.3064473335102141E-2</v>
      </c>
      <c r="I191" t="s">
        <v>117</v>
      </c>
      <c r="J191" t="s">
        <v>28</v>
      </c>
      <c r="K191" t="s">
        <v>15</v>
      </c>
    </row>
    <row r="192" spans="1:11">
      <c r="A192" s="2" t="s">
        <v>213</v>
      </c>
      <c r="B192" s="2" t="s">
        <v>213</v>
      </c>
      <c r="C192" s="3">
        <v>128</v>
      </c>
      <c r="D192" s="4">
        <v>8574</v>
      </c>
      <c r="E192" s="5">
        <v>6.8</v>
      </c>
      <c r="F192" s="5">
        <v>55.5</v>
      </c>
      <c r="G192" s="5">
        <v>0.3</v>
      </c>
      <c r="H192">
        <f>(C192/D192)*100</f>
        <v>1.4928854676930254</v>
      </c>
      <c r="I192" t="s">
        <v>117</v>
      </c>
      <c r="J192" t="s">
        <v>28</v>
      </c>
      <c r="K192" t="s">
        <v>15</v>
      </c>
    </row>
    <row r="193" spans="1:11">
      <c r="A193" s="2" t="s">
        <v>214</v>
      </c>
      <c r="B193" s="2" t="s">
        <v>214</v>
      </c>
      <c r="C193" s="3">
        <v>0</v>
      </c>
      <c r="D193" s="4">
        <v>1125</v>
      </c>
      <c r="E193" s="5">
        <v>4.4000000000000004</v>
      </c>
      <c r="F193" s="5">
        <v>84.2</v>
      </c>
      <c r="G193" s="5">
        <v>0</v>
      </c>
      <c r="H193">
        <f>(C193/D193)*100</f>
        <v>0</v>
      </c>
      <c r="I193" t="s">
        <v>117</v>
      </c>
      <c r="J193" t="s">
        <v>28</v>
      </c>
      <c r="K193" t="s">
        <v>15</v>
      </c>
    </row>
    <row r="194" spans="1:11">
      <c r="A194" s="2" t="s">
        <v>215</v>
      </c>
      <c r="B194" s="2" t="s">
        <v>215</v>
      </c>
      <c r="C194" s="3">
        <v>0</v>
      </c>
      <c r="D194" s="4">
        <v>834</v>
      </c>
      <c r="E194" s="5">
        <v>1.8</v>
      </c>
      <c r="F194" s="5">
        <v>77.599999999999994</v>
      </c>
      <c r="G194" s="5">
        <v>0</v>
      </c>
      <c r="H194">
        <f>(C194/D194)*100</f>
        <v>0</v>
      </c>
      <c r="I194" t="s">
        <v>117</v>
      </c>
      <c r="J194" t="s">
        <v>118</v>
      </c>
      <c r="K194" t="s">
        <v>15</v>
      </c>
    </row>
    <row r="195" spans="1:11">
      <c r="A195" s="2" t="s">
        <v>216</v>
      </c>
      <c r="B195" s="2" t="s">
        <v>216</v>
      </c>
      <c r="C195" s="3">
        <v>23</v>
      </c>
      <c r="D195" s="4">
        <v>377</v>
      </c>
      <c r="E195" s="5">
        <v>0</v>
      </c>
      <c r="F195" s="6">
        <v>0</v>
      </c>
      <c r="G195" s="5">
        <v>1.8</v>
      </c>
      <c r="H195">
        <f>(C195/D195)*100</f>
        <v>6.1007957559681696</v>
      </c>
      <c r="I195" t="s">
        <v>13</v>
      </c>
      <c r="J195" t="s">
        <v>14</v>
      </c>
      <c r="K195" t="s">
        <v>19</v>
      </c>
    </row>
    <row r="196" spans="1:11">
      <c r="A196" s="2" t="s">
        <v>217</v>
      </c>
      <c r="B196" s="2" t="s">
        <v>217</v>
      </c>
      <c r="C196" s="3">
        <v>0</v>
      </c>
      <c r="D196" s="4">
        <v>735</v>
      </c>
      <c r="E196" s="5">
        <v>7.6</v>
      </c>
      <c r="F196" s="5">
        <v>96.1</v>
      </c>
      <c r="G196" s="5">
        <v>0</v>
      </c>
      <c r="H196">
        <f>(C196/D196)*100</f>
        <v>0</v>
      </c>
      <c r="I196" t="s">
        <v>117</v>
      </c>
      <c r="J196" t="s">
        <v>28</v>
      </c>
      <c r="K196" t="s">
        <v>15</v>
      </c>
    </row>
    <row r="197" spans="1:11">
      <c r="A197" s="2" t="s">
        <v>218</v>
      </c>
      <c r="B197" s="2" t="s">
        <v>218</v>
      </c>
      <c r="C197" s="3">
        <v>3</v>
      </c>
      <c r="D197" s="4">
        <v>296</v>
      </c>
      <c r="E197" s="5">
        <v>0</v>
      </c>
      <c r="F197" s="6">
        <v>0</v>
      </c>
      <c r="G197" s="5">
        <v>0.5</v>
      </c>
      <c r="H197">
        <f>(C197/D197)*100</f>
        <v>1.0135135135135136</v>
      </c>
      <c r="I197" t="s">
        <v>13</v>
      </c>
      <c r="J197" t="s">
        <v>14</v>
      </c>
      <c r="K197" t="s">
        <v>19</v>
      </c>
    </row>
    <row r="198" spans="1:11">
      <c r="A198" s="2" t="s">
        <v>219</v>
      </c>
      <c r="B198" s="2" t="s">
        <v>219</v>
      </c>
      <c r="C198" s="3">
        <v>9</v>
      </c>
      <c r="D198" s="4">
        <v>276</v>
      </c>
      <c r="E198" s="5">
        <v>0</v>
      </c>
      <c r="F198" s="6">
        <v>0</v>
      </c>
      <c r="G198" s="5">
        <v>0.9</v>
      </c>
      <c r="H198">
        <f>(C198/D198)*100</f>
        <v>3.2608695652173911</v>
      </c>
      <c r="I198" t="s">
        <v>13</v>
      </c>
      <c r="J198" t="s">
        <v>14</v>
      </c>
      <c r="K198" t="s">
        <v>19</v>
      </c>
    </row>
    <row r="199" spans="1:11">
      <c r="A199" s="2" t="s">
        <v>220</v>
      </c>
      <c r="B199" s="2" t="s">
        <v>220</v>
      </c>
      <c r="C199" s="3">
        <v>112</v>
      </c>
      <c r="D199" s="4">
        <v>2048</v>
      </c>
      <c r="E199" s="5">
        <v>2.2999999999999998</v>
      </c>
      <c r="F199" s="6">
        <v>0</v>
      </c>
      <c r="G199" s="5">
        <v>1.1000000000000001</v>
      </c>
      <c r="H199">
        <f>(C199/D199)*100</f>
        <v>5.46875</v>
      </c>
      <c r="I199" t="s">
        <v>13</v>
      </c>
      <c r="J199" t="s">
        <v>14</v>
      </c>
      <c r="K199" t="s">
        <v>19</v>
      </c>
    </row>
    <row r="200" spans="1:11">
      <c r="A200" s="2" t="s">
        <v>221</v>
      </c>
      <c r="B200" s="2" t="s">
        <v>221</v>
      </c>
      <c r="C200" s="3">
        <v>20</v>
      </c>
      <c r="D200" s="4">
        <v>2384</v>
      </c>
      <c r="E200" s="5">
        <v>3.5</v>
      </c>
      <c r="F200" s="5">
        <v>57.7</v>
      </c>
      <c r="G200" s="5">
        <v>0.3</v>
      </c>
      <c r="H200">
        <f>(C200/D200)*100</f>
        <v>0.83892617449664431</v>
      </c>
      <c r="I200" t="s">
        <v>117</v>
      </c>
      <c r="J200" t="s">
        <v>28</v>
      </c>
      <c r="K200" t="s">
        <v>15</v>
      </c>
    </row>
    <row r="201" spans="1:11">
      <c r="A201" s="2" t="s">
        <v>222</v>
      </c>
      <c r="B201" s="2" t="s">
        <v>222</v>
      </c>
      <c r="C201" s="3"/>
      <c r="D201" s="3"/>
      <c r="E201" s="3"/>
      <c r="F201" s="3"/>
      <c r="G201" s="3"/>
      <c r="H201" t="e">
        <f>(C201/D201)*100</f>
        <v>#DIV/0!</v>
      </c>
      <c r="I201" t="s">
        <v>117</v>
      </c>
      <c r="J201" t="s">
        <v>118</v>
      </c>
      <c r="K201" t="s">
        <v>125</v>
      </c>
    </row>
    <row r="202" spans="1:11">
      <c r="A202" s="2" t="s">
        <v>223</v>
      </c>
      <c r="B202" s="2" t="s">
        <v>223</v>
      </c>
      <c r="C202" s="3">
        <v>4</v>
      </c>
      <c r="D202" s="4">
        <v>1429</v>
      </c>
      <c r="E202" s="5">
        <v>0</v>
      </c>
      <c r="F202" s="5">
        <v>77.900000000000006</v>
      </c>
      <c r="G202" s="5">
        <v>0.1</v>
      </c>
      <c r="H202">
        <f>(C202/D202)*100</f>
        <v>0.27991602519244224</v>
      </c>
      <c r="I202" t="s">
        <v>117</v>
      </c>
      <c r="J202" t="s">
        <v>118</v>
      </c>
      <c r="K202" t="s">
        <v>15</v>
      </c>
    </row>
    <row r="203" spans="1:11">
      <c r="A203" s="2" t="s">
        <v>224</v>
      </c>
      <c r="B203" s="2" t="s">
        <v>224</v>
      </c>
      <c r="C203" s="3">
        <v>3</v>
      </c>
      <c r="D203" s="4">
        <v>6614</v>
      </c>
      <c r="E203" s="5">
        <v>2</v>
      </c>
      <c r="F203" s="5">
        <v>89.9</v>
      </c>
      <c r="G203" s="5">
        <v>0</v>
      </c>
      <c r="H203">
        <f>(C203/D203)*100</f>
        <v>4.5358330813426065E-2</v>
      </c>
      <c r="I203" t="s">
        <v>117</v>
      </c>
      <c r="J203" t="s">
        <v>118</v>
      </c>
      <c r="K203" t="s">
        <v>15</v>
      </c>
    </row>
    <row r="204" spans="1:11">
      <c r="A204" s="2" t="s">
        <v>225</v>
      </c>
      <c r="B204" s="2" t="s">
        <v>225</v>
      </c>
      <c r="C204" s="3">
        <v>1</v>
      </c>
      <c r="D204" s="4">
        <v>1986</v>
      </c>
      <c r="E204" s="5">
        <v>0</v>
      </c>
      <c r="F204" s="5">
        <v>87.2</v>
      </c>
      <c r="G204" s="5">
        <v>0</v>
      </c>
      <c r="H204">
        <f>(C204/D204)*100</f>
        <v>5.0352467270896276E-2</v>
      </c>
      <c r="I204" t="s">
        <v>117</v>
      </c>
      <c r="J204" t="s">
        <v>118</v>
      </c>
      <c r="K204" t="s">
        <v>15</v>
      </c>
    </row>
    <row r="205" spans="1:11">
      <c r="A205" s="2" t="s">
        <v>226</v>
      </c>
      <c r="B205" s="2" t="s">
        <v>226</v>
      </c>
      <c r="C205" s="3">
        <v>4</v>
      </c>
      <c r="D205" s="4">
        <v>1076</v>
      </c>
      <c r="E205" s="5">
        <v>2.4</v>
      </c>
      <c r="F205" s="5">
        <v>100</v>
      </c>
      <c r="G205" s="5">
        <v>0.1</v>
      </c>
      <c r="H205">
        <f>(C205/D205)*100</f>
        <v>0.37174721189591076</v>
      </c>
      <c r="I205" t="s">
        <v>117</v>
      </c>
      <c r="J205" t="s">
        <v>118</v>
      </c>
      <c r="K205" t="s">
        <v>15</v>
      </c>
    </row>
    <row r="206" spans="1:11">
      <c r="A206" s="2" t="s">
        <v>227</v>
      </c>
      <c r="B206" s="2" t="s">
        <v>227</v>
      </c>
      <c r="C206" s="3">
        <v>0</v>
      </c>
      <c r="D206" s="4">
        <v>637</v>
      </c>
      <c r="E206" s="5">
        <v>0</v>
      </c>
      <c r="F206" s="5">
        <v>86.1</v>
      </c>
      <c r="G206" s="5">
        <v>0</v>
      </c>
      <c r="H206">
        <f>(C206/D206)*100</f>
        <v>0</v>
      </c>
      <c r="I206" t="s">
        <v>117</v>
      </c>
      <c r="J206" t="s">
        <v>118</v>
      </c>
      <c r="K206" t="s">
        <v>15</v>
      </c>
    </row>
    <row r="207" spans="1:11">
      <c r="A207" s="2" t="s">
        <v>228</v>
      </c>
      <c r="B207" s="2" t="s">
        <v>228</v>
      </c>
      <c r="C207" s="3">
        <v>9</v>
      </c>
      <c r="D207" s="4">
        <v>1634</v>
      </c>
      <c r="E207" s="5">
        <v>3.9</v>
      </c>
      <c r="F207" s="6">
        <v>0</v>
      </c>
      <c r="G207" s="5">
        <v>0.1</v>
      </c>
      <c r="H207">
        <f>(C207/D207)*100</f>
        <v>0.55079559363525099</v>
      </c>
      <c r="I207" t="s">
        <v>13</v>
      </c>
      <c r="J207" t="s">
        <v>14</v>
      </c>
      <c r="K207" t="s">
        <v>19</v>
      </c>
    </row>
    <row r="208" spans="1:11">
      <c r="A208" s="2" t="s">
        <v>229</v>
      </c>
      <c r="B208" s="2" t="s">
        <v>229</v>
      </c>
      <c r="C208" s="3">
        <v>3</v>
      </c>
      <c r="D208" s="4">
        <v>2644</v>
      </c>
      <c r="E208" s="5">
        <v>0</v>
      </c>
      <c r="F208" s="6">
        <v>30.2</v>
      </c>
      <c r="G208" s="5">
        <v>0</v>
      </c>
      <c r="H208">
        <f>(C208/D208)*100</f>
        <v>0.11346444780635401</v>
      </c>
      <c r="I208" t="s">
        <v>117</v>
      </c>
      <c r="J208" t="s">
        <v>28</v>
      </c>
      <c r="K208" t="s">
        <v>19</v>
      </c>
    </row>
    <row r="209" spans="1:11">
      <c r="A209" s="2" t="s">
        <v>230</v>
      </c>
      <c r="B209" s="2" t="s">
        <v>230</v>
      </c>
      <c r="C209" s="3"/>
      <c r="D209" s="3"/>
      <c r="E209" s="3"/>
      <c r="F209" s="3"/>
      <c r="G209" s="3"/>
      <c r="H209" t="e">
        <f>(C209/D209)*100</f>
        <v>#DIV/0!</v>
      </c>
      <c r="I209" t="s">
        <v>117</v>
      </c>
      <c r="J209" t="s">
        <v>118</v>
      </c>
      <c r="K209" t="s">
        <v>125</v>
      </c>
    </row>
    <row r="210" spans="1:11">
      <c r="A210" s="2" t="s">
        <v>231</v>
      </c>
      <c r="B210" s="2" t="s">
        <v>231</v>
      </c>
      <c r="C210" s="3">
        <v>0</v>
      </c>
      <c r="D210" s="4">
        <v>619</v>
      </c>
      <c r="E210" s="5">
        <v>2.2999999999999998</v>
      </c>
      <c r="F210" s="5">
        <v>80.099999999999994</v>
      </c>
      <c r="G210" s="5">
        <v>0</v>
      </c>
      <c r="H210">
        <f>(C210/D210)*100</f>
        <v>0</v>
      </c>
      <c r="I210" t="s">
        <v>117</v>
      </c>
      <c r="J210" t="s">
        <v>118</v>
      </c>
      <c r="K210" t="s">
        <v>15</v>
      </c>
    </row>
    <row r="211" spans="1:11">
      <c r="A211" s="2" t="s">
        <v>232</v>
      </c>
      <c r="B211" s="2" t="s">
        <v>232</v>
      </c>
      <c r="C211" s="3">
        <v>0</v>
      </c>
      <c r="D211" s="4">
        <v>248</v>
      </c>
      <c r="E211" s="5">
        <v>14</v>
      </c>
      <c r="F211" s="5">
        <v>76.3</v>
      </c>
      <c r="G211" s="5">
        <v>0</v>
      </c>
      <c r="H211">
        <f>(C211/D211)*100</f>
        <v>0</v>
      </c>
      <c r="I211" t="s">
        <v>117</v>
      </c>
      <c r="J211" t="s">
        <v>28</v>
      </c>
      <c r="K211" t="s">
        <v>15</v>
      </c>
    </row>
    <row r="212" spans="1:11">
      <c r="A212" s="2" t="s">
        <v>233</v>
      </c>
      <c r="B212" s="2" t="s">
        <v>233</v>
      </c>
      <c r="C212" s="3">
        <v>22</v>
      </c>
      <c r="D212" s="4">
        <v>1934</v>
      </c>
      <c r="E212" s="5">
        <v>7.5</v>
      </c>
      <c r="F212" s="6">
        <v>27.1</v>
      </c>
      <c r="G212" s="5">
        <v>0.1</v>
      </c>
      <c r="H212">
        <f>(C212/D212)*100</f>
        <v>1.1375387797311272</v>
      </c>
      <c r="I212" t="s">
        <v>13</v>
      </c>
      <c r="J212" t="s">
        <v>14</v>
      </c>
      <c r="K212" t="s">
        <v>19</v>
      </c>
    </row>
    <row r="213" spans="1:11">
      <c r="A213" s="2" t="s">
        <v>234</v>
      </c>
      <c r="B213" s="2" t="s">
        <v>234</v>
      </c>
      <c r="C213" s="3">
        <v>42</v>
      </c>
      <c r="D213" s="4">
        <v>937</v>
      </c>
      <c r="E213" s="5">
        <v>3</v>
      </c>
      <c r="F213" s="6">
        <v>0</v>
      </c>
      <c r="G213" s="5">
        <v>0.8</v>
      </c>
      <c r="H213">
        <f>(C213/D213)*100</f>
        <v>4.4823906083244394</v>
      </c>
      <c r="I213" t="s">
        <v>13</v>
      </c>
      <c r="J213" t="s">
        <v>14</v>
      </c>
      <c r="K213" t="s">
        <v>19</v>
      </c>
    </row>
    <row r="214" spans="1:11">
      <c r="A214" s="2" t="s">
        <v>235</v>
      </c>
      <c r="B214" s="2" t="s">
        <v>235</v>
      </c>
      <c r="C214" s="3">
        <v>0</v>
      </c>
      <c r="D214" s="4">
        <v>470</v>
      </c>
      <c r="E214" s="5">
        <v>0</v>
      </c>
      <c r="F214" s="5">
        <v>72.599999999999994</v>
      </c>
      <c r="G214" s="5">
        <v>0</v>
      </c>
      <c r="H214">
        <f>(C214/D214)*100</f>
        <v>0</v>
      </c>
      <c r="I214" t="s">
        <v>117</v>
      </c>
      <c r="J214" t="s">
        <v>118</v>
      </c>
      <c r="K214" t="s">
        <v>15</v>
      </c>
    </row>
    <row r="215" spans="1:11">
      <c r="A215" s="2" t="s">
        <v>236</v>
      </c>
      <c r="B215" s="2" t="s">
        <v>236</v>
      </c>
      <c r="C215" s="3">
        <v>479</v>
      </c>
      <c r="D215" s="4">
        <v>4754</v>
      </c>
      <c r="E215" s="5">
        <v>5.4</v>
      </c>
      <c r="F215" s="6">
        <v>0</v>
      </c>
      <c r="G215" s="5">
        <v>1.7</v>
      </c>
      <c r="H215">
        <f>(C215/D215)*100</f>
        <v>10.075725704669752</v>
      </c>
      <c r="I215" t="s">
        <v>13</v>
      </c>
      <c r="J215" t="s">
        <v>14</v>
      </c>
      <c r="K215" t="s">
        <v>19</v>
      </c>
    </row>
    <row r="216" spans="1:11">
      <c r="A216" s="2" t="s">
        <v>237</v>
      </c>
      <c r="B216" s="2" t="s">
        <v>237</v>
      </c>
      <c r="C216" s="3">
        <v>65</v>
      </c>
      <c r="D216" s="4">
        <v>919</v>
      </c>
      <c r="E216" s="5">
        <v>18.3</v>
      </c>
      <c r="F216" s="6">
        <v>0</v>
      </c>
      <c r="G216" s="5">
        <v>1.5</v>
      </c>
      <c r="H216">
        <f>(C216/D216)*100</f>
        <v>7.0729053318824811</v>
      </c>
      <c r="I216" t="s">
        <v>13</v>
      </c>
      <c r="J216" t="s">
        <v>14</v>
      </c>
      <c r="K216" t="s">
        <v>19</v>
      </c>
    </row>
    <row r="217" spans="1:11">
      <c r="A217" s="2" t="s">
        <v>238</v>
      </c>
      <c r="B217" s="2" t="s">
        <v>238</v>
      </c>
      <c r="C217" s="3">
        <v>20</v>
      </c>
      <c r="D217" s="4">
        <v>3441</v>
      </c>
      <c r="E217" s="5">
        <v>19.5</v>
      </c>
      <c r="F217" s="5">
        <v>62.4</v>
      </c>
      <c r="G217" s="5">
        <v>0.1</v>
      </c>
      <c r="H217">
        <f>(C217/D217)*100</f>
        <v>0.58122638767800061</v>
      </c>
      <c r="I217" t="s">
        <v>117</v>
      </c>
      <c r="J217" t="s">
        <v>28</v>
      </c>
      <c r="K217" t="s">
        <v>15</v>
      </c>
    </row>
    <row r="218" spans="1:11">
      <c r="A218" s="2" t="s">
        <v>239</v>
      </c>
      <c r="B218" s="2" t="s">
        <v>239</v>
      </c>
      <c r="C218" s="3">
        <v>8</v>
      </c>
      <c r="D218" s="4">
        <v>1575</v>
      </c>
      <c r="E218" s="5">
        <v>1.9</v>
      </c>
      <c r="F218" s="5">
        <v>74.900000000000006</v>
      </c>
      <c r="G218" s="5">
        <v>0.1</v>
      </c>
      <c r="H218">
        <f>(C218/D218)*100</f>
        <v>0.50793650793650791</v>
      </c>
      <c r="I218" t="s">
        <v>117</v>
      </c>
      <c r="J218" t="s">
        <v>118</v>
      </c>
      <c r="K218" t="s">
        <v>15</v>
      </c>
    </row>
    <row r="219" spans="1:11">
      <c r="A219" s="2" t="s">
        <v>240</v>
      </c>
      <c r="B219" s="2" t="s">
        <v>240</v>
      </c>
      <c r="C219" s="3">
        <v>0</v>
      </c>
      <c r="D219" s="4">
        <v>268</v>
      </c>
      <c r="E219" s="5">
        <v>0</v>
      </c>
      <c r="F219" s="5">
        <v>66</v>
      </c>
      <c r="G219" s="5">
        <v>0</v>
      </c>
      <c r="H219">
        <f>(C219/D219)*100</f>
        <v>0</v>
      </c>
      <c r="I219" t="s">
        <v>117</v>
      </c>
      <c r="J219" t="s">
        <v>118</v>
      </c>
      <c r="K219" t="s">
        <v>15</v>
      </c>
    </row>
    <row r="220" spans="1:11">
      <c r="A220" s="2" t="s">
        <v>241</v>
      </c>
      <c r="B220" s="2" t="s">
        <v>241</v>
      </c>
      <c r="C220" s="3">
        <v>1</v>
      </c>
      <c r="D220" s="4">
        <v>68</v>
      </c>
      <c r="E220" s="5">
        <v>0</v>
      </c>
      <c r="F220" s="6">
        <v>0</v>
      </c>
      <c r="G220" s="5">
        <v>0.5</v>
      </c>
      <c r="H220">
        <f>(C220/D220)*100</f>
        <v>1.4705882352941175</v>
      </c>
      <c r="I220" t="s">
        <v>13</v>
      </c>
      <c r="J220" t="s">
        <v>14</v>
      </c>
      <c r="K220" t="s">
        <v>19</v>
      </c>
    </row>
    <row r="221" spans="1:11">
      <c r="A221" s="2" t="s">
        <v>242</v>
      </c>
      <c r="B221" s="2" t="s">
        <v>242</v>
      </c>
      <c r="C221" s="3">
        <v>22</v>
      </c>
      <c r="D221" s="4">
        <v>402</v>
      </c>
      <c r="E221" s="5">
        <v>0</v>
      </c>
      <c r="F221" s="6">
        <v>13.4</v>
      </c>
      <c r="G221" s="5">
        <v>0.9</v>
      </c>
      <c r="H221">
        <f>(C221/D221)*100</f>
        <v>5.4726368159203984</v>
      </c>
      <c r="I221" t="s">
        <v>13</v>
      </c>
      <c r="J221" t="s">
        <v>14</v>
      </c>
      <c r="K221" t="s">
        <v>19</v>
      </c>
    </row>
    <row r="222" spans="1:11">
      <c r="A222" s="2" t="s">
        <v>243</v>
      </c>
      <c r="B222" s="2" t="s">
        <v>243</v>
      </c>
      <c r="C222" s="3">
        <v>1</v>
      </c>
      <c r="D222" s="4">
        <v>103</v>
      </c>
      <c r="E222" s="5">
        <v>0</v>
      </c>
      <c r="F222" s="5">
        <v>85.1</v>
      </c>
      <c r="G222" s="5">
        <v>0</v>
      </c>
      <c r="H222">
        <f>(C222/D222)*100</f>
        <v>0.97087378640776689</v>
      </c>
      <c r="I222" t="s">
        <v>117</v>
      </c>
      <c r="J222" t="s">
        <v>118</v>
      </c>
      <c r="K222" t="s">
        <v>15</v>
      </c>
    </row>
    <row r="223" spans="1:11">
      <c r="A223" s="2" t="s">
        <v>244</v>
      </c>
      <c r="B223" s="2" t="s">
        <v>244</v>
      </c>
      <c r="C223" s="3">
        <v>285</v>
      </c>
      <c r="D223" s="4">
        <v>6897</v>
      </c>
      <c r="E223" s="5">
        <v>14.4</v>
      </c>
      <c r="F223" s="6">
        <v>0</v>
      </c>
      <c r="G223" s="5">
        <v>1.5</v>
      </c>
      <c r="H223">
        <f>(C223/D223)*100</f>
        <v>4.1322314049586781</v>
      </c>
      <c r="I223" t="s">
        <v>13</v>
      </c>
      <c r="J223" t="s">
        <v>14</v>
      </c>
      <c r="K223" t="s">
        <v>19</v>
      </c>
    </row>
    <row r="224" spans="1:11">
      <c r="A224" s="2" t="s">
        <v>245</v>
      </c>
      <c r="B224" s="2" t="s">
        <v>245</v>
      </c>
      <c r="C224" s="3">
        <v>1</v>
      </c>
      <c r="D224" s="4">
        <v>225</v>
      </c>
      <c r="E224" s="5">
        <v>0</v>
      </c>
      <c r="F224" s="5">
        <v>71</v>
      </c>
      <c r="G224" s="5">
        <v>0.1</v>
      </c>
      <c r="H224">
        <f>(C224/D224)*100</f>
        <v>0.44444444444444442</v>
      </c>
      <c r="I224" t="s">
        <v>117</v>
      </c>
      <c r="J224" t="s">
        <v>118</v>
      </c>
      <c r="K224" t="s">
        <v>15</v>
      </c>
    </row>
    <row r="225" spans="1:11">
      <c r="A225" s="2" t="s">
        <v>246</v>
      </c>
      <c r="B225" s="9" t="s">
        <v>246</v>
      </c>
      <c r="C225" s="3">
        <v>0</v>
      </c>
      <c r="D225" s="4">
        <v>10</v>
      </c>
      <c r="E225" s="5">
        <v>0</v>
      </c>
      <c r="F225" s="3"/>
      <c r="G225" s="5">
        <v>0</v>
      </c>
      <c r="H225">
        <f>(C225/D225)*100</f>
        <v>0</v>
      </c>
      <c r="I225" t="s">
        <v>117</v>
      </c>
      <c r="J225" t="s">
        <v>118</v>
      </c>
      <c r="K225" t="s">
        <v>15</v>
      </c>
    </row>
    <row r="226" spans="1:11">
      <c r="A226" s="2" t="s">
        <v>247</v>
      </c>
      <c r="B226" s="2" t="s">
        <v>247</v>
      </c>
      <c r="C226" s="3"/>
      <c r="D226" s="3"/>
      <c r="E226" s="3"/>
      <c r="F226" s="3"/>
      <c r="G226" s="3"/>
      <c r="H226" t="e">
        <f>(C226/D226)*100</f>
        <v>#DIV/0!</v>
      </c>
      <c r="I226" t="s">
        <v>117</v>
      </c>
      <c r="J226" t="s">
        <v>118</v>
      </c>
      <c r="K226" t="s">
        <v>125</v>
      </c>
    </row>
    <row r="227" spans="1:11">
      <c r="A227" s="2" t="s">
        <v>248</v>
      </c>
      <c r="B227" s="2" t="s">
        <v>248</v>
      </c>
      <c r="C227" s="3">
        <v>2</v>
      </c>
      <c r="D227" s="4">
        <v>383</v>
      </c>
      <c r="E227" s="5">
        <v>7.3</v>
      </c>
      <c r="F227" s="6">
        <v>0</v>
      </c>
      <c r="G227" s="5">
        <v>0</v>
      </c>
      <c r="H227">
        <f>(C227/D227)*100</f>
        <v>0.52219321148825071</v>
      </c>
      <c r="I227" t="s">
        <v>13</v>
      </c>
      <c r="J227" t="s">
        <v>14</v>
      </c>
      <c r="K227" t="s">
        <v>19</v>
      </c>
    </row>
    <row r="228" spans="1:11">
      <c r="A228" s="2" t="s">
        <v>249</v>
      </c>
      <c r="B228" s="2" t="s">
        <v>249</v>
      </c>
      <c r="C228" s="3">
        <v>4</v>
      </c>
      <c r="D228" s="4">
        <v>386</v>
      </c>
      <c r="E228" s="5">
        <v>0</v>
      </c>
      <c r="F228" s="6">
        <v>0</v>
      </c>
      <c r="G228" s="5">
        <v>0.5</v>
      </c>
      <c r="H228">
        <f>(C228/D228)*100</f>
        <v>1.0362694300518136</v>
      </c>
      <c r="I228" t="s">
        <v>13</v>
      </c>
      <c r="J228" t="s">
        <v>14</v>
      </c>
      <c r="K228" t="s">
        <v>19</v>
      </c>
    </row>
    <row r="229" spans="1:11">
      <c r="A229" s="2" t="s">
        <v>250</v>
      </c>
      <c r="B229" s="2" t="s">
        <v>250</v>
      </c>
      <c r="C229" s="3">
        <v>8</v>
      </c>
      <c r="D229" s="4">
        <v>698</v>
      </c>
      <c r="E229" s="5">
        <v>9.1</v>
      </c>
      <c r="F229" s="5">
        <v>80.2</v>
      </c>
      <c r="G229" s="5">
        <v>0.3</v>
      </c>
      <c r="H229">
        <f>(C229/D229)*100</f>
        <v>1.1461318051575931</v>
      </c>
      <c r="I229" t="s">
        <v>117</v>
      </c>
      <c r="J229" t="s">
        <v>28</v>
      </c>
      <c r="K229" t="s">
        <v>15</v>
      </c>
    </row>
    <row r="230" spans="1:11">
      <c r="A230" s="2" t="s">
        <v>251</v>
      </c>
      <c r="B230" s="2" t="s">
        <v>251</v>
      </c>
      <c r="C230" s="3"/>
      <c r="D230" s="3"/>
      <c r="E230" s="3"/>
      <c r="F230" s="3"/>
      <c r="G230" s="3"/>
      <c r="H230" t="e">
        <f>(C230/D230)*100</f>
        <v>#DIV/0!</v>
      </c>
      <c r="I230" t="s">
        <v>117</v>
      </c>
      <c r="J230" t="s">
        <v>118</v>
      </c>
      <c r="K230" t="s">
        <v>125</v>
      </c>
    </row>
    <row r="231" spans="1:11">
      <c r="A231" s="2" t="s">
        <v>252</v>
      </c>
      <c r="B231" s="2" t="s">
        <v>252</v>
      </c>
      <c r="C231" s="3">
        <v>0</v>
      </c>
      <c r="D231" s="4">
        <v>567</v>
      </c>
      <c r="E231" s="5">
        <v>0</v>
      </c>
      <c r="F231" s="5">
        <v>51.7</v>
      </c>
      <c r="G231" s="5">
        <v>0</v>
      </c>
      <c r="H231">
        <f>(C231/D231)*100</f>
        <v>0</v>
      </c>
      <c r="I231" t="s">
        <v>117</v>
      </c>
      <c r="J231" t="s">
        <v>118</v>
      </c>
      <c r="K231" t="s">
        <v>15</v>
      </c>
    </row>
    <row r="232" spans="1:11">
      <c r="A232" s="2" t="s">
        <v>253</v>
      </c>
      <c r="B232" s="2" t="s">
        <v>253</v>
      </c>
      <c r="C232" s="3">
        <v>4</v>
      </c>
      <c r="D232" s="4">
        <v>125</v>
      </c>
      <c r="E232" s="5">
        <v>0</v>
      </c>
      <c r="F232" s="6">
        <v>0</v>
      </c>
      <c r="G232" s="5">
        <v>0.5</v>
      </c>
      <c r="H232">
        <f>(C232/D232)*100</f>
        <v>3.2</v>
      </c>
      <c r="I232" t="s">
        <v>13</v>
      </c>
      <c r="J232" t="s">
        <v>14</v>
      </c>
      <c r="K232" t="s">
        <v>19</v>
      </c>
    </row>
    <row r="233" spans="1:11">
      <c r="A233" s="2" t="s">
        <v>254</v>
      </c>
      <c r="B233" s="2" t="s">
        <v>254</v>
      </c>
      <c r="C233" s="3">
        <v>1</v>
      </c>
      <c r="D233" s="4">
        <v>593</v>
      </c>
      <c r="E233" s="5">
        <v>7.2</v>
      </c>
      <c r="F233" s="5">
        <v>75.2</v>
      </c>
      <c r="G233" s="5">
        <v>0</v>
      </c>
      <c r="H233">
        <f>(C233/D233)*100</f>
        <v>0.16863406408094433</v>
      </c>
      <c r="I233" t="s">
        <v>117</v>
      </c>
      <c r="J233" t="s">
        <v>28</v>
      </c>
      <c r="K233" t="s">
        <v>15</v>
      </c>
    </row>
    <row r="234" spans="1:11">
      <c r="A234" s="2" t="s">
        <v>255</v>
      </c>
      <c r="B234" s="2" t="s">
        <v>255</v>
      </c>
      <c r="C234" s="3">
        <v>0</v>
      </c>
      <c r="D234" s="4">
        <v>75</v>
      </c>
      <c r="E234" s="5">
        <v>0</v>
      </c>
      <c r="F234" s="6">
        <v>0</v>
      </c>
      <c r="G234" s="5">
        <v>0</v>
      </c>
      <c r="H234">
        <f>(C234/D234)*100</f>
        <v>0</v>
      </c>
      <c r="I234" t="s">
        <v>13</v>
      </c>
      <c r="J234" t="s">
        <v>14</v>
      </c>
      <c r="K234" t="s">
        <v>19</v>
      </c>
    </row>
    <row r="235" spans="1:11">
      <c r="A235" s="2" t="s">
        <v>256</v>
      </c>
      <c r="B235" s="2" t="s">
        <v>256</v>
      </c>
      <c r="C235" s="3">
        <v>2</v>
      </c>
      <c r="D235" s="4">
        <v>733</v>
      </c>
      <c r="E235" s="5">
        <v>0</v>
      </c>
      <c r="F235" s="5">
        <v>70.2</v>
      </c>
      <c r="G235" s="5">
        <v>0.1</v>
      </c>
      <c r="H235">
        <f>(C235/D235)*100</f>
        <v>0.27285129604365621</v>
      </c>
      <c r="I235" t="s">
        <v>117</v>
      </c>
      <c r="J235" t="s">
        <v>118</v>
      </c>
      <c r="K235" t="s">
        <v>15</v>
      </c>
    </row>
    <row r="236" spans="1:11">
      <c r="A236" s="2" t="s">
        <v>257</v>
      </c>
      <c r="B236" s="2" t="s">
        <v>257</v>
      </c>
      <c r="C236" s="3">
        <v>88</v>
      </c>
      <c r="D236" s="4">
        <v>1592</v>
      </c>
      <c r="E236" s="5">
        <v>14.5</v>
      </c>
      <c r="F236" s="6">
        <v>0</v>
      </c>
      <c r="G236" s="5">
        <v>1.3</v>
      </c>
      <c r="H236">
        <f>(C236/D236)*100</f>
        <v>5.5276381909547743</v>
      </c>
      <c r="I236" t="s">
        <v>13</v>
      </c>
      <c r="J236" t="s">
        <v>14</v>
      </c>
      <c r="K236" t="s">
        <v>19</v>
      </c>
    </row>
    <row r="237" spans="1:11">
      <c r="A237" s="2" t="s">
        <v>258</v>
      </c>
      <c r="B237" s="2" t="s">
        <v>258</v>
      </c>
      <c r="C237" s="3">
        <v>11</v>
      </c>
      <c r="D237" s="4">
        <v>465</v>
      </c>
      <c r="E237" s="5">
        <v>0</v>
      </c>
      <c r="F237" s="5">
        <v>94.5</v>
      </c>
      <c r="G237" s="5">
        <v>0.5</v>
      </c>
      <c r="H237">
        <f>(C237/D237)*100</f>
        <v>2.3655913978494625</v>
      </c>
      <c r="I237" t="s">
        <v>117</v>
      </c>
      <c r="J237" t="s">
        <v>118</v>
      </c>
      <c r="K237" t="s">
        <v>15</v>
      </c>
    </row>
    <row r="238" spans="1:11">
      <c r="A238" s="2" t="s">
        <v>259</v>
      </c>
      <c r="B238" s="2" t="s">
        <v>259</v>
      </c>
      <c r="C238" s="3">
        <v>16</v>
      </c>
      <c r="D238" s="4">
        <v>1754</v>
      </c>
      <c r="E238" s="5">
        <v>3.5</v>
      </c>
      <c r="F238" s="5">
        <v>51.8</v>
      </c>
      <c r="G238" s="5">
        <v>0.2</v>
      </c>
      <c r="H238">
        <f>(C238/D238)*100</f>
        <v>0.91220068415051314</v>
      </c>
      <c r="I238" t="s">
        <v>117</v>
      </c>
      <c r="J238" t="s">
        <v>28</v>
      </c>
      <c r="K238" t="s">
        <v>15</v>
      </c>
    </row>
    <row r="239" spans="1:11">
      <c r="A239" s="2" t="s">
        <v>260</v>
      </c>
      <c r="B239" s="2" t="s">
        <v>260</v>
      </c>
      <c r="C239" s="3"/>
      <c r="D239" s="3"/>
      <c r="E239" s="3"/>
      <c r="F239" s="3"/>
      <c r="G239" s="3"/>
      <c r="H239" t="e">
        <f>(C239/D239)*100</f>
        <v>#DIV/0!</v>
      </c>
      <c r="I239" t="s">
        <v>117</v>
      </c>
      <c r="J239" t="s">
        <v>118</v>
      </c>
      <c r="K239" t="s">
        <v>125</v>
      </c>
    </row>
    <row r="240" spans="1:11">
      <c r="A240" s="2" t="s">
        <v>261</v>
      </c>
      <c r="B240" s="2" t="s">
        <v>261</v>
      </c>
      <c r="C240" s="3">
        <v>44</v>
      </c>
      <c r="D240" s="4">
        <v>1573</v>
      </c>
      <c r="E240" s="5">
        <v>10.4</v>
      </c>
      <c r="F240" s="6">
        <v>0</v>
      </c>
      <c r="G240" s="5">
        <v>0.6</v>
      </c>
      <c r="H240">
        <f>(C240/D240)*100</f>
        <v>2.7972027972027971</v>
      </c>
      <c r="I240" t="s">
        <v>13</v>
      </c>
      <c r="J240" t="s">
        <v>14</v>
      </c>
      <c r="K240" t="s">
        <v>19</v>
      </c>
    </row>
    <row r="241" spans="1:11">
      <c r="A241" s="2" t="s">
        <v>262</v>
      </c>
      <c r="B241" s="2" t="s">
        <v>262</v>
      </c>
      <c r="C241" s="3">
        <v>3</v>
      </c>
      <c r="D241" s="4">
        <v>249</v>
      </c>
      <c r="E241" s="5">
        <v>16.899999999999999</v>
      </c>
      <c r="F241" s="5">
        <v>84.3</v>
      </c>
      <c r="G241" s="5">
        <v>0.3</v>
      </c>
      <c r="H241">
        <f>(C241/D241)*100</f>
        <v>1.2048192771084338</v>
      </c>
      <c r="I241" t="s">
        <v>117</v>
      </c>
      <c r="J241" t="s">
        <v>28</v>
      </c>
      <c r="K241" t="s">
        <v>15</v>
      </c>
    </row>
    <row r="242" spans="1:11">
      <c r="A242" s="2" t="s">
        <v>263</v>
      </c>
      <c r="B242" s="2" t="s">
        <v>263</v>
      </c>
      <c r="C242" s="3">
        <v>2</v>
      </c>
      <c r="D242" s="4">
        <v>122</v>
      </c>
      <c r="E242" s="5">
        <v>0</v>
      </c>
      <c r="F242" s="5">
        <v>94.3</v>
      </c>
      <c r="G242" s="5">
        <v>0.3</v>
      </c>
      <c r="H242">
        <f>(C242/D242)*100</f>
        <v>1.639344262295082</v>
      </c>
      <c r="I242" t="s">
        <v>117</v>
      </c>
      <c r="J242" t="s">
        <v>118</v>
      </c>
      <c r="K242" t="s">
        <v>15</v>
      </c>
    </row>
    <row r="243" spans="1:11">
      <c r="A243" s="2" t="s">
        <v>264</v>
      </c>
      <c r="B243" s="2" t="s">
        <v>264</v>
      </c>
      <c r="C243" s="3">
        <v>1066</v>
      </c>
      <c r="D243" s="4">
        <v>18579</v>
      </c>
      <c r="E243" s="5">
        <v>7.6</v>
      </c>
      <c r="F243" s="6">
        <v>2.9</v>
      </c>
      <c r="G243" s="5">
        <v>1</v>
      </c>
      <c r="H243">
        <f>(C243/D243)*100</f>
        <v>5.7376607998277622</v>
      </c>
      <c r="I243" t="s">
        <v>13</v>
      </c>
      <c r="J243" t="s">
        <v>14</v>
      </c>
      <c r="K243" t="s">
        <v>19</v>
      </c>
    </row>
    <row r="244" spans="1:11">
      <c r="A244" s="2" t="s">
        <v>265</v>
      </c>
      <c r="B244" s="2" t="s">
        <v>265</v>
      </c>
      <c r="C244" s="3">
        <v>159</v>
      </c>
      <c r="D244" s="4">
        <v>1851</v>
      </c>
      <c r="E244" s="5">
        <v>12.7</v>
      </c>
      <c r="F244" s="6">
        <v>0</v>
      </c>
      <c r="G244" s="5">
        <v>1.7</v>
      </c>
      <c r="H244">
        <f>(C244/D244)*100</f>
        <v>8.589951377633712</v>
      </c>
      <c r="I244" t="s">
        <v>13</v>
      </c>
      <c r="J244" t="s">
        <v>14</v>
      </c>
      <c r="K244" t="s">
        <v>19</v>
      </c>
    </row>
    <row r="245" spans="1:11">
      <c r="A245" s="2" t="s">
        <v>266</v>
      </c>
      <c r="B245" s="2" t="s">
        <v>266</v>
      </c>
      <c r="C245" s="3">
        <v>65</v>
      </c>
      <c r="D245" s="4">
        <v>1069</v>
      </c>
      <c r="E245" s="5">
        <v>11.1</v>
      </c>
      <c r="F245" s="6">
        <v>0</v>
      </c>
      <c r="G245" s="5">
        <v>1.3</v>
      </c>
      <c r="H245">
        <f>(C245/D245)*100</f>
        <v>6.0804490177736206</v>
      </c>
      <c r="I245" t="s">
        <v>13</v>
      </c>
      <c r="J245" t="s">
        <v>14</v>
      </c>
      <c r="K245" t="s">
        <v>19</v>
      </c>
    </row>
    <row r="246" spans="1:11">
      <c r="A246" s="2" t="s">
        <v>267</v>
      </c>
      <c r="B246" s="2" t="s">
        <v>267</v>
      </c>
      <c r="C246" s="3">
        <v>27</v>
      </c>
      <c r="D246" s="4">
        <v>428</v>
      </c>
      <c r="E246" s="5">
        <v>4.8</v>
      </c>
      <c r="F246" s="6">
        <v>0</v>
      </c>
      <c r="G246" s="5">
        <v>1.1000000000000001</v>
      </c>
      <c r="H246">
        <f>(C246/D246)*100</f>
        <v>6.3084112149532707</v>
      </c>
      <c r="I246" t="s">
        <v>13</v>
      </c>
      <c r="J246" t="s">
        <v>14</v>
      </c>
      <c r="K246" t="s">
        <v>19</v>
      </c>
    </row>
    <row r="247" spans="1:11">
      <c r="A247" s="2" t="s">
        <v>268</v>
      </c>
      <c r="B247" s="2" t="s">
        <v>268</v>
      </c>
      <c r="C247" s="3">
        <v>0</v>
      </c>
      <c r="D247" s="4">
        <v>234</v>
      </c>
      <c r="E247" s="5">
        <v>0</v>
      </c>
      <c r="F247" s="5">
        <v>70.2</v>
      </c>
      <c r="G247" s="5">
        <v>0</v>
      </c>
      <c r="H247">
        <f>(C247/D247)*100</f>
        <v>0</v>
      </c>
      <c r="I247" t="s">
        <v>117</v>
      </c>
      <c r="J247" t="s">
        <v>118</v>
      </c>
      <c r="K247" t="s">
        <v>15</v>
      </c>
    </row>
    <row r="248" spans="1:11">
      <c r="A248" s="2" t="s">
        <v>269</v>
      </c>
      <c r="B248" s="2" t="s">
        <v>269</v>
      </c>
      <c r="C248" s="3">
        <v>0</v>
      </c>
      <c r="D248" s="3"/>
      <c r="E248" s="5">
        <v>0</v>
      </c>
      <c r="F248" s="3"/>
      <c r="G248" s="5">
        <v>0</v>
      </c>
      <c r="H248" t="e">
        <f>(C248/D248)*100</f>
        <v>#DIV/0!</v>
      </c>
      <c r="I248" t="s">
        <v>117</v>
      </c>
      <c r="J248" t="s">
        <v>118</v>
      </c>
      <c r="K248" t="s">
        <v>125</v>
      </c>
    </row>
    <row r="249" spans="1:11">
      <c r="A249" s="2" t="s">
        <v>270</v>
      </c>
      <c r="B249" s="2" t="s">
        <v>270</v>
      </c>
      <c r="C249" s="3">
        <v>0</v>
      </c>
      <c r="D249" s="4">
        <v>174</v>
      </c>
      <c r="E249" s="5">
        <v>0</v>
      </c>
      <c r="F249" s="5">
        <v>93.1</v>
      </c>
      <c r="G249" s="5">
        <v>0</v>
      </c>
      <c r="H249">
        <f>(C249/D249)*100</f>
        <v>0</v>
      </c>
      <c r="I249" t="s">
        <v>117</v>
      </c>
      <c r="J249" t="s">
        <v>118</v>
      </c>
      <c r="K249" t="s">
        <v>15</v>
      </c>
    </row>
    <row r="250" spans="1:11">
      <c r="A250" s="2" t="s">
        <v>271</v>
      </c>
      <c r="B250" s="2" t="s">
        <v>271</v>
      </c>
      <c r="C250" s="3">
        <v>15</v>
      </c>
      <c r="D250" s="4">
        <v>448</v>
      </c>
      <c r="E250" s="5">
        <v>0</v>
      </c>
      <c r="F250" s="5">
        <v>75.5</v>
      </c>
      <c r="G250" s="5">
        <v>0.6</v>
      </c>
      <c r="H250">
        <f>(C250/D250)*100</f>
        <v>3.3482142857142856</v>
      </c>
      <c r="I250" t="s">
        <v>117</v>
      </c>
      <c r="J250" t="s">
        <v>118</v>
      </c>
      <c r="K250" t="s">
        <v>15</v>
      </c>
    </row>
    <row r="251" spans="1:11">
      <c r="A251" s="2" t="s">
        <v>272</v>
      </c>
      <c r="B251" s="2" t="s">
        <v>272</v>
      </c>
      <c r="C251" s="3">
        <v>0</v>
      </c>
      <c r="D251" s="4">
        <v>184</v>
      </c>
      <c r="E251" s="5">
        <v>0</v>
      </c>
      <c r="F251" s="5">
        <v>78.099999999999994</v>
      </c>
      <c r="G251" s="5">
        <v>0</v>
      </c>
      <c r="H251">
        <f>(C251/D251)*100</f>
        <v>0</v>
      </c>
      <c r="I251" t="s">
        <v>117</v>
      </c>
      <c r="J251" t="s">
        <v>118</v>
      </c>
      <c r="K251" t="s">
        <v>15</v>
      </c>
    </row>
    <row r="252" spans="1:11">
      <c r="A252" s="2" t="s">
        <v>273</v>
      </c>
      <c r="B252" s="2" t="s">
        <v>273</v>
      </c>
      <c r="C252" s="3"/>
      <c r="D252" s="3"/>
      <c r="E252" s="3"/>
      <c r="F252" s="3"/>
      <c r="G252" s="3"/>
      <c r="H252" t="e">
        <f>(C252/D252)*100</f>
        <v>#DIV/0!</v>
      </c>
      <c r="I252" t="s">
        <v>117</v>
      </c>
      <c r="J252" t="s">
        <v>118</v>
      </c>
      <c r="K252" t="s">
        <v>125</v>
      </c>
    </row>
    <row r="253" spans="1:11">
      <c r="A253" s="2" t="s">
        <v>274</v>
      </c>
      <c r="B253" s="2" t="s">
        <v>275</v>
      </c>
      <c r="C253" s="3">
        <v>173</v>
      </c>
      <c r="D253" s="4">
        <v>2487</v>
      </c>
      <c r="E253" s="5">
        <v>3.4</v>
      </c>
      <c r="F253" s="6">
        <v>31.9</v>
      </c>
      <c r="G253" s="5">
        <v>0.8</v>
      </c>
      <c r="H253">
        <f>(C253/D253)*100</f>
        <v>6.9561720948934456</v>
      </c>
      <c r="I253" t="s">
        <v>117</v>
      </c>
      <c r="J253" t="s">
        <v>28</v>
      </c>
      <c r="K253" t="s">
        <v>19</v>
      </c>
    </row>
    <row r="254" spans="1:11">
      <c r="A254" s="2" t="s">
        <v>276</v>
      </c>
      <c r="B254" s="2" t="s">
        <v>276</v>
      </c>
      <c r="C254" s="3">
        <v>4</v>
      </c>
      <c r="D254" s="4">
        <v>147</v>
      </c>
      <c r="E254" s="5">
        <v>0</v>
      </c>
      <c r="F254" s="5">
        <v>78.8</v>
      </c>
      <c r="G254" s="5">
        <v>0.9</v>
      </c>
      <c r="H254">
        <f>(C254/D254)*100</f>
        <v>2.7210884353741496</v>
      </c>
      <c r="I254" t="s">
        <v>117</v>
      </c>
      <c r="J254" t="s">
        <v>118</v>
      </c>
      <c r="K254" t="s">
        <v>15</v>
      </c>
    </row>
    <row r="255" spans="1:11">
      <c r="A255" s="2" t="s">
        <v>277</v>
      </c>
      <c r="B255" s="2" t="s">
        <v>277</v>
      </c>
      <c r="C255" s="3">
        <v>93</v>
      </c>
      <c r="D255" s="4">
        <v>1875</v>
      </c>
      <c r="E255" s="5">
        <v>0</v>
      </c>
      <c r="F255" s="6">
        <v>0</v>
      </c>
      <c r="G255" s="5">
        <v>1</v>
      </c>
      <c r="H255">
        <f>(C255/D255)*100</f>
        <v>4.96</v>
      </c>
      <c r="I255" t="s">
        <v>13</v>
      </c>
      <c r="J255" t="s">
        <v>14</v>
      </c>
      <c r="K255" t="s">
        <v>19</v>
      </c>
    </row>
    <row r="256" spans="1:11">
      <c r="A256" s="2" t="s">
        <v>278</v>
      </c>
      <c r="B256" s="2" t="s">
        <v>278</v>
      </c>
      <c r="C256" s="3">
        <v>7</v>
      </c>
      <c r="D256" s="4">
        <v>240</v>
      </c>
      <c r="E256" s="5">
        <v>0</v>
      </c>
      <c r="F256" s="5">
        <v>93.5</v>
      </c>
      <c r="G256" s="5">
        <v>0.6</v>
      </c>
      <c r="H256">
        <f>(C256/D256)*100</f>
        <v>2.9166666666666665</v>
      </c>
      <c r="I256" t="s">
        <v>117</v>
      </c>
      <c r="J256" t="s">
        <v>118</v>
      </c>
      <c r="K256" t="s">
        <v>15</v>
      </c>
    </row>
    <row r="257" spans="1:11">
      <c r="A257" s="2" t="s">
        <v>279</v>
      </c>
      <c r="B257" s="2" t="s">
        <v>279</v>
      </c>
      <c r="C257" s="3">
        <v>12</v>
      </c>
      <c r="D257" s="4">
        <v>439</v>
      </c>
      <c r="E257" s="5">
        <v>11</v>
      </c>
      <c r="F257" s="5">
        <v>75.900000000000006</v>
      </c>
      <c r="G257" s="5">
        <v>0.5</v>
      </c>
      <c r="H257">
        <f>(C257/D257)*100</f>
        <v>2.7334851936218678</v>
      </c>
      <c r="I257" t="s">
        <v>117</v>
      </c>
      <c r="J257" t="s">
        <v>28</v>
      </c>
      <c r="K257" t="s">
        <v>15</v>
      </c>
    </row>
    <row r="258" spans="1:11">
      <c r="A258" s="2" t="s">
        <v>280</v>
      </c>
      <c r="B258" s="2" t="s">
        <v>280</v>
      </c>
      <c r="C258" s="3">
        <v>11</v>
      </c>
      <c r="D258" s="4">
        <v>494</v>
      </c>
      <c r="E258" s="5">
        <v>9.6999999999999993</v>
      </c>
      <c r="F258" s="5">
        <v>71.2</v>
      </c>
      <c r="G258" s="5">
        <v>0.4</v>
      </c>
      <c r="H258">
        <f>(C258/D258)*100</f>
        <v>2.2267206477732793</v>
      </c>
      <c r="I258" t="s">
        <v>117</v>
      </c>
      <c r="J258" t="s">
        <v>28</v>
      </c>
      <c r="K258" t="s">
        <v>15</v>
      </c>
    </row>
    <row r="259" spans="1:11">
      <c r="A259" s="2" t="s">
        <v>281</v>
      </c>
      <c r="B259" s="2" t="s">
        <v>281</v>
      </c>
      <c r="C259" s="3">
        <v>2</v>
      </c>
      <c r="D259" s="4">
        <v>124</v>
      </c>
      <c r="E259" s="5">
        <v>0</v>
      </c>
      <c r="F259" s="6">
        <v>0</v>
      </c>
      <c r="G259" s="5">
        <v>0.5</v>
      </c>
      <c r="H259">
        <f>(C259/D259)*100</f>
        <v>1.6129032258064515</v>
      </c>
      <c r="I259" t="s">
        <v>13</v>
      </c>
      <c r="J259" t="s">
        <v>14</v>
      </c>
      <c r="K259" t="s">
        <v>19</v>
      </c>
    </row>
    <row r="260" spans="1:11">
      <c r="A260" s="2" t="s">
        <v>282</v>
      </c>
      <c r="B260" s="2" t="s">
        <v>282</v>
      </c>
      <c r="C260" s="3">
        <v>12</v>
      </c>
      <c r="D260" s="4">
        <v>353</v>
      </c>
      <c r="E260" s="5">
        <v>17.600000000000001</v>
      </c>
      <c r="F260" s="5">
        <v>84.3</v>
      </c>
      <c r="G260" s="5">
        <v>0.6</v>
      </c>
      <c r="H260">
        <f>(C260/D260)*100</f>
        <v>3.3994334277620402</v>
      </c>
      <c r="I260" t="s">
        <v>117</v>
      </c>
      <c r="J260" t="s">
        <v>28</v>
      </c>
      <c r="K260" t="s">
        <v>15</v>
      </c>
    </row>
    <row r="261" spans="1:11">
      <c r="A261" s="2" t="s">
        <v>283</v>
      </c>
      <c r="B261" s="2" t="s">
        <v>283</v>
      </c>
      <c r="C261" s="3">
        <v>40</v>
      </c>
      <c r="D261" s="4">
        <v>537</v>
      </c>
      <c r="E261" s="5">
        <v>0</v>
      </c>
      <c r="F261" s="6">
        <v>0</v>
      </c>
      <c r="G261" s="5">
        <v>2.6</v>
      </c>
      <c r="H261">
        <f>(C261/D261)*100</f>
        <v>7.4487895716945998</v>
      </c>
      <c r="I261" t="s">
        <v>13</v>
      </c>
      <c r="J261" t="s">
        <v>14</v>
      </c>
      <c r="K261" t="s">
        <v>19</v>
      </c>
    </row>
    <row r="262" spans="1:11">
      <c r="A262" s="2" t="s">
        <v>284</v>
      </c>
      <c r="B262" s="2" t="s">
        <v>284</v>
      </c>
      <c r="C262" s="3">
        <v>0</v>
      </c>
      <c r="D262" s="3"/>
      <c r="E262" s="3"/>
      <c r="F262" s="3"/>
      <c r="G262" s="5">
        <v>0</v>
      </c>
      <c r="H262" t="e">
        <f>(C262/D262)*100</f>
        <v>#DIV/0!</v>
      </c>
      <c r="I262" t="s">
        <v>117</v>
      </c>
      <c r="J262" t="s">
        <v>118</v>
      </c>
      <c r="K262" t="s">
        <v>125</v>
      </c>
    </row>
    <row r="263" spans="1:11">
      <c r="A263" s="2" t="s">
        <v>285</v>
      </c>
      <c r="B263" s="2" t="s">
        <v>285</v>
      </c>
      <c r="C263" s="3">
        <v>0</v>
      </c>
      <c r="D263" s="4">
        <v>1006</v>
      </c>
      <c r="E263" s="5">
        <v>2.1</v>
      </c>
      <c r="F263" s="6">
        <v>0</v>
      </c>
      <c r="G263" s="5">
        <v>0</v>
      </c>
      <c r="H263">
        <f>(C263/D263)*100</f>
        <v>0</v>
      </c>
      <c r="I263" t="s">
        <v>13</v>
      </c>
      <c r="J263" t="s">
        <v>14</v>
      </c>
      <c r="K263" t="s">
        <v>19</v>
      </c>
    </row>
    <row r="264" spans="1:11">
      <c r="A264" s="2" t="s">
        <v>286</v>
      </c>
      <c r="B264" s="2" t="s">
        <v>286</v>
      </c>
      <c r="C264" s="3">
        <v>3</v>
      </c>
      <c r="D264" s="4">
        <v>1510</v>
      </c>
      <c r="E264" s="5">
        <v>0</v>
      </c>
      <c r="F264" s="5">
        <v>81.2</v>
      </c>
      <c r="G264" s="5">
        <v>0</v>
      </c>
      <c r="H264">
        <f>(C264/D264)*100</f>
        <v>0.19867549668874171</v>
      </c>
      <c r="I264" t="s">
        <v>117</v>
      </c>
      <c r="J264" t="s">
        <v>118</v>
      </c>
      <c r="K264" t="s">
        <v>15</v>
      </c>
    </row>
    <row r="265" spans="1:11">
      <c r="A265" s="2" t="s">
        <v>287</v>
      </c>
      <c r="B265" s="2" t="s">
        <v>288</v>
      </c>
      <c r="C265" s="3">
        <v>7</v>
      </c>
      <c r="D265" s="4">
        <v>389</v>
      </c>
      <c r="E265" s="5">
        <v>9.8000000000000007</v>
      </c>
      <c r="F265" s="6">
        <v>0</v>
      </c>
      <c r="G265" s="5">
        <v>0.2</v>
      </c>
      <c r="H265">
        <f>(C265/D265)*100</f>
        <v>1.7994858611825193</v>
      </c>
      <c r="I265" t="s">
        <v>13</v>
      </c>
      <c r="J265" t="s">
        <v>14</v>
      </c>
      <c r="K265" t="s">
        <v>19</v>
      </c>
    </row>
    <row r="266" spans="1:11">
      <c r="A266" s="2" t="s">
        <v>289</v>
      </c>
      <c r="B266" s="2" t="s">
        <v>289</v>
      </c>
      <c r="C266" s="3">
        <v>1007</v>
      </c>
      <c r="D266" s="4">
        <v>57279</v>
      </c>
      <c r="E266" s="5">
        <v>8.4</v>
      </c>
      <c r="F266" s="5">
        <v>54.9</v>
      </c>
      <c r="G266" s="5">
        <v>0.3</v>
      </c>
      <c r="H266">
        <f>(C266/D266)*100</f>
        <v>1.7580614186700187</v>
      </c>
      <c r="I266" t="s">
        <v>117</v>
      </c>
      <c r="J266" t="s">
        <v>28</v>
      </c>
      <c r="K266" t="s">
        <v>15</v>
      </c>
    </row>
    <row r="267" spans="1:11">
      <c r="A267" s="2" t="s">
        <v>290</v>
      </c>
      <c r="B267" s="2" t="s">
        <v>290</v>
      </c>
      <c r="C267" s="3">
        <v>30</v>
      </c>
      <c r="D267" s="4">
        <v>565</v>
      </c>
      <c r="E267" s="5">
        <v>2.9</v>
      </c>
      <c r="F267" s="6">
        <v>0</v>
      </c>
      <c r="G267" s="5">
        <v>1.1000000000000001</v>
      </c>
      <c r="H267">
        <f>(C267/D267)*100</f>
        <v>5.3097345132743365</v>
      </c>
      <c r="I267" t="s">
        <v>13</v>
      </c>
      <c r="J267" t="s">
        <v>14</v>
      </c>
      <c r="K267" t="s">
        <v>19</v>
      </c>
    </row>
    <row r="268" spans="1:11">
      <c r="A268" s="2" t="s">
        <v>291</v>
      </c>
      <c r="B268" s="2" t="s">
        <v>291</v>
      </c>
      <c r="C268" s="3">
        <v>0</v>
      </c>
      <c r="D268" s="3"/>
      <c r="E268" s="5">
        <v>0</v>
      </c>
      <c r="F268" s="3"/>
      <c r="G268" s="5">
        <v>0</v>
      </c>
      <c r="H268" t="e">
        <f>(C268/D268)*100</f>
        <v>#DIV/0!</v>
      </c>
      <c r="I268" t="s">
        <v>117</v>
      </c>
      <c r="J268" t="s">
        <v>118</v>
      </c>
      <c r="K268" t="s">
        <v>125</v>
      </c>
    </row>
    <row r="269" spans="1:11">
      <c r="A269" s="2" t="s">
        <v>292</v>
      </c>
      <c r="B269" s="2" t="s">
        <v>292</v>
      </c>
      <c r="C269" s="3">
        <v>22</v>
      </c>
      <c r="D269" s="4">
        <v>288</v>
      </c>
      <c r="E269" s="5">
        <v>0</v>
      </c>
      <c r="F269" s="3"/>
      <c r="G269" s="5">
        <v>0.5</v>
      </c>
      <c r="H269">
        <f>(C269/D269)*100</f>
        <v>7.6388888888888893</v>
      </c>
      <c r="I269" t="s">
        <v>117</v>
      </c>
      <c r="J269" t="s">
        <v>118</v>
      </c>
      <c r="K269" t="s">
        <v>15</v>
      </c>
    </row>
    <row r="270" spans="1:11">
      <c r="A270" s="2" t="s">
        <v>293</v>
      </c>
      <c r="B270" s="2" t="s">
        <v>293</v>
      </c>
      <c r="C270" s="3">
        <v>0</v>
      </c>
      <c r="D270" s="3"/>
      <c r="E270" s="5">
        <v>0</v>
      </c>
      <c r="F270" s="3"/>
      <c r="G270" s="5">
        <v>0</v>
      </c>
      <c r="H270" t="e">
        <f>(C270/D270)*100</f>
        <v>#DIV/0!</v>
      </c>
      <c r="I270" t="s">
        <v>117</v>
      </c>
      <c r="J270" t="s">
        <v>118</v>
      </c>
      <c r="K270" t="s">
        <v>125</v>
      </c>
    </row>
    <row r="271" spans="1:11">
      <c r="A271" s="2" t="s">
        <v>294</v>
      </c>
      <c r="B271" s="2" t="s">
        <v>295</v>
      </c>
      <c r="C271" s="3">
        <v>52</v>
      </c>
      <c r="D271" s="4">
        <v>935</v>
      </c>
      <c r="E271" s="5">
        <v>12.7</v>
      </c>
      <c r="F271" s="6">
        <v>0</v>
      </c>
      <c r="G271" s="5">
        <v>0.7</v>
      </c>
      <c r="H271">
        <f>(C271/D271)*100</f>
        <v>5.5614973262032086</v>
      </c>
      <c r="I271" t="s">
        <v>13</v>
      </c>
      <c r="J271" t="s">
        <v>14</v>
      </c>
      <c r="K271" t="s">
        <v>19</v>
      </c>
    </row>
    <row r="272" spans="1:11">
      <c r="A272" s="2" t="s">
        <v>296</v>
      </c>
      <c r="B272" s="2" t="s">
        <v>296</v>
      </c>
      <c r="C272" s="3">
        <v>0</v>
      </c>
      <c r="D272" s="3"/>
      <c r="E272" s="5">
        <v>0</v>
      </c>
      <c r="F272" s="3"/>
      <c r="G272" s="5">
        <v>0</v>
      </c>
      <c r="H272" t="e">
        <f>(C272/D272)*100</f>
        <v>#DIV/0!</v>
      </c>
      <c r="I272" t="s">
        <v>117</v>
      </c>
      <c r="J272" t="s">
        <v>118</v>
      </c>
      <c r="K272" t="s">
        <v>125</v>
      </c>
    </row>
    <row r="273" spans="1:11">
      <c r="A273" s="2" t="s">
        <v>297</v>
      </c>
      <c r="B273" s="2" t="s">
        <v>297</v>
      </c>
      <c r="C273" s="3">
        <v>0</v>
      </c>
      <c r="D273" s="3"/>
      <c r="E273" s="5">
        <v>0</v>
      </c>
      <c r="F273" s="3"/>
      <c r="G273" s="5">
        <v>0</v>
      </c>
      <c r="H273" t="e">
        <f>(C273/D273)*100</f>
        <v>#DIV/0!</v>
      </c>
      <c r="I273" t="s">
        <v>117</v>
      </c>
      <c r="J273" t="s">
        <v>118</v>
      </c>
      <c r="K273" t="s">
        <v>125</v>
      </c>
    </row>
    <row r="274" spans="1:11">
      <c r="A274" s="2" t="s">
        <v>298</v>
      </c>
      <c r="B274" s="2" t="s">
        <v>298</v>
      </c>
      <c r="C274" s="3">
        <v>0</v>
      </c>
      <c r="D274" s="3"/>
      <c r="E274" s="5">
        <v>0</v>
      </c>
      <c r="F274" s="3"/>
      <c r="G274" s="5">
        <v>0</v>
      </c>
      <c r="H274" t="e">
        <f>(C274/D274)*100</f>
        <v>#DIV/0!</v>
      </c>
      <c r="I274" t="s">
        <v>117</v>
      </c>
      <c r="J274" t="s">
        <v>118</v>
      </c>
      <c r="K274" t="s">
        <v>125</v>
      </c>
    </row>
    <row r="275" spans="1:11">
      <c r="A275" s="2" t="s">
        <v>299</v>
      </c>
      <c r="B275" s="2" t="s">
        <v>299</v>
      </c>
      <c r="C275" s="3">
        <v>333</v>
      </c>
      <c r="D275" s="4">
        <v>28340</v>
      </c>
      <c r="E275" s="5">
        <v>3.6</v>
      </c>
      <c r="F275" s="6">
        <v>0</v>
      </c>
      <c r="G275" s="5">
        <v>0.1</v>
      </c>
      <c r="H275">
        <f>(C275/D275)*100</f>
        <v>1.1750176429075512</v>
      </c>
      <c r="I275" t="s">
        <v>13</v>
      </c>
      <c r="J275" t="s">
        <v>14</v>
      </c>
      <c r="K275" t="s">
        <v>19</v>
      </c>
    </row>
    <row r="276" spans="1:11">
      <c r="A276" s="2" t="s">
        <v>300</v>
      </c>
      <c r="B276" s="2" t="s">
        <v>300</v>
      </c>
      <c r="C276" s="3">
        <v>52</v>
      </c>
      <c r="D276" s="4">
        <v>522</v>
      </c>
      <c r="E276" s="5">
        <v>0</v>
      </c>
      <c r="F276" s="6">
        <v>0</v>
      </c>
      <c r="G276" s="5">
        <v>1.7</v>
      </c>
      <c r="H276">
        <f>(C276/D276)*100</f>
        <v>9.9616858237547881</v>
      </c>
      <c r="I276" t="s">
        <v>13</v>
      </c>
      <c r="J276" t="s">
        <v>14</v>
      </c>
      <c r="K276" t="s">
        <v>19</v>
      </c>
    </row>
    <row r="277" spans="1:11">
      <c r="A277" s="2" t="s">
        <v>301</v>
      </c>
      <c r="B277" s="2" t="s">
        <v>301</v>
      </c>
      <c r="C277" s="3">
        <v>1</v>
      </c>
      <c r="D277" s="4">
        <v>1235</v>
      </c>
      <c r="E277" s="5">
        <v>0</v>
      </c>
      <c r="F277" s="5">
        <v>86.3</v>
      </c>
      <c r="G277" s="5">
        <v>0</v>
      </c>
      <c r="H277">
        <f>(C277/D277)*100</f>
        <v>8.0971659919028341E-2</v>
      </c>
      <c r="I277" t="s">
        <v>117</v>
      </c>
      <c r="J277" t="s">
        <v>118</v>
      </c>
      <c r="K277" t="s">
        <v>15</v>
      </c>
    </row>
    <row r="278" spans="1:11">
      <c r="A278" s="2" t="s">
        <v>302</v>
      </c>
      <c r="B278" s="2" t="s">
        <v>302</v>
      </c>
      <c r="C278" s="3">
        <v>1</v>
      </c>
      <c r="D278" s="4">
        <v>1012</v>
      </c>
      <c r="E278" s="5">
        <v>0</v>
      </c>
      <c r="F278" s="5">
        <v>92.6</v>
      </c>
      <c r="G278" s="5">
        <v>0</v>
      </c>
      <c r="H278">
        <f>(C278/D278)*100</f>
        <v>9.8814229249011856E-2</v>
      </c>
      <c r="I278" t="s">
        <v>117</v>
      </c>
      <c r="J278" t="s">
        <v>118</v>
      </c>
      <c r="K278" t="s">
        <v>15</v>
      </c>
    </row>
    <row r="279" spans="1:11">
      <c r="A279" s="2" t="s">
        <v>303</v>
      </c>
      <c r="B279" s="2" t="s">
        <v>303</v>
      </c>
      <c r="C279" s="3">
        <v>9</v>
      </c>
      <c r="D279" s="4">
        <v>464</v>
      </c>
      <c r="E279" s="5">
        <v>0</v>
      </c>
      <c r="F279" s="6">
        <v>0</v>
      </c>
      <c r="G279" s="5">
        <v>0.5</v>
      </c>
      <c r="H279">
        <f>(C279/D279)*100</f>
        <v>1.9396551724137931</v>
      </c>
      <c r="I279" t="s">
        <v>13</v>
      </c>
      <c r="J279" t="s">
        <v>14</v>
      </c>
      <c r="K279" t="s">
        <v>19</v>
      </c>
    </row>
    <row r="280" spans="1:11">
      <c r="A280" s="2" t="s">
        <v>304</v>
      </c>
      <c r="B280" s="2" t="s">
        <v>304</v>
      </c>
      <c r="C280" s="3">
        <v>22</v>
      </c>
      <c r="D280" s="4">
        <v>385</v>
      </c>
      <c r="E280" s="5">
        <v>16.899999999999999</v>
      </c>
      <c r="F280" s="6">
        <v>0</v>
      </c>
      <c r="G280" s="5">
        <v>1</v>
      </c>
      <c r="H280">
        <f>(C280/D280)*100</f>
        <v>5.7142857142857144</v>
      </c>
      <c r="I280" t="s">
        <v>13</v>
      </c>
      <c r="J280" t="s">
        <v>14</v>
      </c>
      <c r="K280" t="s">
        <v>19</v>
      </c>
    </row>
    <row r="281" spans="1:11">
      <c r="A281" s="2" t="s">
        <v>305</v>
      </c>
      <c r="B281" s="2" t="s">
        <v>305</v>
      </c>
      <c r="C281" s="3">
        <v>0</v>
      </c>
      <c r="D281" s="3"/>
      <c r="E281" s="5">
        <v>0</v>
      </c>
      <c r="F281" s="3"/>
      <c r="G281" s="5">
        <v>0</v>
      </c>
      <c r="H281" t="e">
        <f>(C281/D281)*100</f>
        <v>#DIV/0!</v>
      </c>
      <c r="I281" t="s">
        <v>117</v>
      </c>
      <c r="J281" t="s">
        <v>118</v>
      </c>
      <c r="K281" t="s">
        <v>125</v>
      </c>
    </row>
    <row r="282" spans="1:11">
      <c r="A282" s="2" t="s">
        <v>306</v>
      </c>
      <c r="B282" s="2" t="s">
        <v>307</v>
      </c>
      <c r="C282" s="3">
        <v>10</v>
      </c>
      <c r="D282" s="4">
        <v>13024</v>
      </c>
      <c r="E282" s="5">
        <v>2.5</v>
      </c>
      <c r="F282" s="5">
        <v>75.2</v>
      </c>
      <c r="G282" s="5">
        <v>0</v>
      </c>
      <c r="H282">
        <f>(C282/D282)*100</f>
        <v>7.6781326781326778E-2</v>
      </c>
      <c r="I282" t="s">
        <v>117</v>
      </c>
      <c r="J282" t="s">
        <v>118</v>
      </c>
      <c r="K282" t="s">
        <v>15</v>
      </c>
    </row>
    <row r="283" spans="1:11">
      <c r="A283" s="2" t="s">
        <v>308</v>
      </c>
      <c r="B283" s="2" t="s">
        <v>308</v>
      </c>
      <c r="C283" s="3">
        <v>2</v>
      </c>
      <c r="D283" s="4">
        <v>4520</v>
      </c>
      <c r="E283" s="5">
        <v>9.6999999999999993</v>
      </c>
      <c r="F283" s="5">
        <v>88.3</v>
      </c>
      <c r="G283" s="5">
        <v>0</v>
      </c>
      <c r="H283">
        <f>(C283/D283)*100</f>
        <v>4.4247787610619468E-2</v>
      </c>
      <c r="I283" t="s">
        <v>117</v>
      </c>
      <c r="J283" t="s">
        <v>28</v>
      </c>
      <c r="K283" t="s">
        <v>15</v>
      </c>
    </row>
    <row r="284" spans="1:11">
      <c r="A284" s="2" t="s">
        <v>309</v>
      </c>
      <c r="B284" s="2" t="s">
        <v>309</v>
      </c>
      <c r="C284" s="3">
        <v>23</v>
      </c>
      <c r="D284" s="4">
        <v>150</v>
      </c>
      <c r="E284" s="5">
        <v>0</v>
      </c>
      <c r="F284" s="6">
        <v>0</v>
      </c>
      <c r="G284" s="6">
        <v>6.2</v>
      </c>
      <c r="H284">
        <f>(C284/D284)*100</f>
        <v>15.333333333333332</v>
      </c>
      <c r="I284" t="s">
        <v>13</v>
      </c>
      <c r="J284" t="s">
        <v>14</v>
      </c>
      <c r="K284" t="s">
        <v>19</v>
      </c>
    </row>
    <row r="285" spans="1:11">
      <c r="A285" s="2" t="s">
        <v>310</v>
      </c>
      <c r="B285" s="2" t="s">
        <v>310</v>
      </c>
      <c r="C285" s="3">
        <v>1415</v>
      </c>
      <c r="D285" s="4">
        <v>34531</v>
      </c>
      <c r="E285" s="5">
        <v>16</v>
      </c>
      <c r="F285" s="6">
        <v>4.8</v>
      </c>
      <c r="G285" s="5">
        <v>0.8</v>
      </c>
      <c r="H285">
        <f>(C285/D285)*100</f>
        <v>4.0977672236541078</v>
      </c>
      <c r="I285" t="s">
        <v>13</v>
      </c>
      <c r="J285" t="s">
        <v>14</v>
      </c>
      <c r="K285" t="s">
        <v>19</v>
      </c>
    </row>
    <row r="286" spans="1:11">
      <c r="A286" s="2" t="s">
        <v>311</v>
      </c>
      <c r="B286" s="2" t="s">
        <v>311</v>
      </c>
      <c r="C286" s="3">
        <v>1</v>
      </c>
      <c r="D286" s="4">
        <v>174</v>
      </c>
      <c r="E286" s="5">
        <v>0</v>
      </c>
      <c r="F286" s="3"/>
      <c r="G286" s="5">
        <v>0.1</v>
      </c>
      <c r="H286">
        <f>(C286/D286)*100</f>
        <v>0.57471264367816088</v>
      </c>
      <c r="I286" t="s">
        <v>117</v>
      </c>
      <c r="J286" t="s">
        <v>118</v>
      </c>
      <c r="K286" t="s">
        <v>15</v>
      </c>
    </row>
    <row r="287" spans="1:11">
      <c r="A287" s="2" t="s">
        <v>312</v>
      </c>
      <c r="B287" s="2" t="s">
        <v>312</v>
      </c>
      <c r="C287" s="3"/>
      <c r="D287" s="3"/>
      <c r="E287" s="3"/>
      <c r="F287" s="3"/>
      <c r="G287" s="3"/>
      <c r="H287" t="e">
        <f>(C287/D287)*100</f>
        <v>#DIV/0!</v>
      </c>
      <c r="I287" t="s">
        <v>117</v>
      </c>
      <c r="J287" t="s">
        <v>118</v>
      </c>
      <c r="K287" t="s">
        <v>125</v>
      </c>
    </row>
    <row r="288" spans="1:11">
      <c r="A288" s="2" t="s">
        <v>313</v>
      </c>
      <c r="B288" s="2" t="s">
        <v>313</v>
      </c>
      <c r="C288" s="3">
        <v>2</v>
      </c>
      <c r="D288" s="4">
        <v>138</v>
      </c>
      <c r="E288" s="5">
        <v>0</v>
      </c>
      <c r="F288" s="6">
        <v>0</v>
      </c>
      <c r="G288" s="5">
        <v>0.3</v>
      </c>
      <c r="H288">
        <f>(C288/D288)*100</f>
        <v>1.4492753623188406</v>
      </c>
      <c r="I288" t="s">
        <v>13</v>
      </c>
      <c r="J288" t="s">
        <v>14</v>
      </c>
      <c r="K288" t="s">
        <v>19</v>
      </c>
    </row>
    <row r="289" spans="1:11">
      <c r="A289" s="2" t="s">
        <v>314</v>
      </c>
      <c r="B289" s="2" t="s">
        <v>314</v>
      </c>
      <c r="C289" s="3">
        <v>140</v>
      </c>
      <c r="D289" s="4">
        <v>2433</v>
      </c>
      <c r="E289" s="5">
        <v>4.4000000000000004</v>
      </c>
      <c r="F289" s="6">
        <v>15.4</v>
      </c>
      <c r="G289" s="5">
        <v>1.4</v>
      </c>
      <c r="H289">
        <f>(C289/D289)*100</f>
        <v>5.7542129058775178</v>
      </c>
      <c r="I289" t="s">
        <v>13</v>
      </c>
      <c r="J289" t="s">
        <v>14</v>
      </c>
      <c r="K289" t="s">
        <v>19</v>
      </c>
    </row>
    <row r="290" spans="1:11">
      <c r="A290" s="2" t="s">
        <v>315</v>
      </c>
      <c r="B290" s="2" t="s">
        <v>315</v>
      </c>
      <c r="C290" s="3">
        <v>0</v>
      </c>
      <c r="D290" s="4">
        <v>701</v>
      </c>
      <c r="E290" s="5">
        <v>0</v>
      </c>
      <c r="F290" s="5">
        <v>80.7</v>
      </c>
      <c r="G290" s="5">
        <v>0</v>
      </c>
      <c r="H290">
        <f>(C290/D290)*100</f>
        <v>0</v>
      </c>
      <c r="I290" t="s">
        <v>117</v>
      </c>
      <c r="J290" t="s">
        <v>118</v>
      </c>
      <c r="K290" t="s">
        <v>15</v>
      </c>
    </row>
    <row r="291" spans="1:11">
      <c r="A291" s="2" t="s">
        <v>316</v>
      </c>
      <c r="B291" s="2" t="s">
        <v>316</v>
      </c>
      <c r="C291" s="3">
        <v>16</v>
      </c>
      <c r="D291" s="4">
        <v>677</v>
      </c>
      <c r="E291" s="5">
        <v>6.1</v>
      </c>
      <c r="F291" s="6">
        <v>0</v>
      </c>
      <c r="G291" s="5">
        <v>0.4</v>
      </c>
      <c r="H291">
        <f>(C291/D291)*100</f>
        <v>2.3633677991137372</v>
      </c>
      <c r="I291" t="s">
        <v>13</v>
      </c>
      <c r="J291" t="s">
        <v>14</v>
      </c>
      <c r="K291" t="s">
        <v>19</v>
      </c>
    </row>
    <row r="292" spans="1:11">
      <c r="A292" s="2" t="s">
        <v>317</v>
      </c>
      <c r="B292" s="2" t="s">
        <v>317</v>
      </c>
      <c r="C292" s="3">
        <v>0</v>
      </c>
      <c r="D292" s="3"/>
      <c r="E292" s="3"/>
      <c r="F292" s="3"/>
      <c r="G292" s="5">
        <v>0</v>
      </c>
      <c r="H292" t="e">
        <f>(C292/D292)*100</f>
        <v>#DIV/0!</v>
      </c>
      <c r="I292" t="s">
        <v>117</v>
      </c>
      <c r="J292" t="s">
        <v>118</v>
      </c>
      <c r="K292" t="s">
        <v>125</v>
      </c>
    </row>
    <row r="293" spans="1:11">
      <c r="A293" s="2" t="s">
        <v>318</v>
      </c>
      <c r="B293" s="2" t="s">
        <v>318</v>
      </c>
      <c r="C293" s="3">
        <v>12</v>
      </c>
      <c r="D293" s="4">
        <v>1088</v>
      </c>
      <c r="E293" s="5">
        <v>4.2</v>
      </c>
      <c r="F293" s="5">
        <v>77.5</v>
      </c>
      <c r="G293" s="5">
        <v>0.3</v>
      </c>
      <c r="H293">
        <f>(C293/D293)*100</f>
        <v>1.1029411764705883</v>
      </c>
      <c r="I293" t="s">
        <v>117</v>
      </c>
      <c r="J293" t="s">
        <v>28</v>
      </c>
      <c r="K293" t="s">
        <v>15</v>
      </c>
    </row>
    <row r="294" spans="1:11">
      <c r="A294" s="2" t="s">
        <v>319</v>
      </c>
      <c r="B294" s="2" t="s">
        <v>319</v>
      </c>
      <c r="C294" s="3"/>
      <c r="D294" s="3"/>
      <c r="E294" s="3"/>
      <c r="F294" s="3"/>
      <c r="G294" s="3"/>
      <c r="H294" t="e">
        <f>(C294/D294)*100</f>
        <v>#DIV/0!</v>
      </c>
      <c r="I294" t="s">
        <v>117</v>
      </c>
      <c r="J294" t="s">
        <v>118</v>
      </c>
      <c r="K294" t="s">
        <v>125</v>
      </c>
    </row>
    <row r="295" spans="1:11">
      <c r="A295" s="2" t="s">
        <v>320</v>
      </c>
      <c r="B295" s="2" t="s">
        <v>320</v>
      </c>
      <c r="C295" s="3"/>
      <c r="D295" s="3"/>
      <c r="E295" s="3"/>
      <c r="F295" s="3"/>
      <c r="G295" s="3"/>
      <c r="H295" t="e">
        <f>(C295/D295)*100</f>
        <v>#DIV/0!</v>
      </c>
      <c r="I295" t="s">
        <v>117</v>
      </c>
      <c r="J295" t="s">
        <v>118</v>
      </c>
      <c r="K295" t="s">
        <v>125</v>
      </c>
    </row>
    <row r="296" spans="1:11">
      <c r="A296" s="2" t="s">
        <v>321</v>
      </c>
      <c r="B296" s="2" t="s">
        <v>321</v>
      </c>
      <c r="C296" s="3">
        <v>1</v>
      </c>
      <c r="D296" s="4">
        <v>330</v>
      </c>
      <c r="E296" s="5">
        <v>0</v>
      </c>
      <c r="F296" s="5">
        <v>90.9</v>
      </c>
      <c r="G296" s="5">
        <v>0</v>
      </c>
      <c r="H296">
        <f>(C296/D296)*100</f>
        <v>0.30303030303030304</v>
      </c>
      <c r="I296" t="s">
        <v>117</v>
      </c>
      <c r="J296" t="s">
        <v>118</v>
      </c>
      <c r="K296" t="s">
        <v>15</v>
      </c>
    </row>
    <row r="297" spans="1:11">
      <c r="A297" s="2" t="s">
        <v>322</v>
      </c>
      <c r="B297" s="2" t="s">
        <v>322</v>
      </c>
      <c r="C297" s="3">
        <v>91</v>
      </c>
      <c r="D297" s="4">
        <v>2425</v>
      </c>
      <c r="E297" s="5">
        <v>10.8</v>
      </c>
      <c r="F297" s="6">
        <v>14.7</v>
      </c>
      <c r="G297" s="5">
        <v>0.6</v>
      </c>
      <c r="H297">
        <f>(C297/D297)*100</f>
        <v>3.7525773195876284</v>
      </c>
      <c r="I297" t="s">
        <v>13</v>
      </c>
      <c r="J297" t="s">
        <v>14</v>
      </c>
      <c r="K297" t="s">
        <v>19</v>
      </c>
    </row>
    <row r="298" spans="1:11">
      <c r="A298" s="2" t="s">
        <v>323</v>
      </c>
      <c r="B298" s="2" t="s">
        <v>323</v>
      </c>
      <c r="C298" s="3">
        <v>52</v>
      </c>
      <c r="D298" s="4">
        <v>2829</v>
      </c>
      <c r="E298" s="5">
        <v>1.5</v>
      </c>
      <c r="F298" s="5">
        <v>81</v>
      </c>
      <c r="G298" s="5">
        <v>0.4</v>
      </c>
      <c r="H298">
        <f>(C298/D298)*100</f>
        <v>1.8381053375751151</v>
      </c>
      <c r="I298" t="s">
        <v>117</v>
      </c>
      <c r="J298" t="s">
        <v>118</v>
      </c>
      <c r="K298" t="s">
        <v>15</v>
      </c>
    </row>
    <row r="299" spans="1:11">
      <c r="A299" s="2" t="s">
        <v>324</v>
      </c>
      <c r="B299" s="2" t="s">
        <v>324</v>
      </c>
      <c r="C299" s="3">
        <v>1</v>
      </c>
      <c r="D299" s="4">
        <v>71</v>
      </c>
      <c r="E299" s="5">
        <v>0</v>
      </c>
      <c r="F299" s="6">
        <v>0</v>
      </c>
      <c r="G299" s="5">
        <v>0.9</v>
      </c>
      <c r="H299">
        <f>(C299/D299)*100</f>
        <v>1.4084507042253522</v>
      </c>
      <c r="I299" t="s">
        <v>13</v>
      </c>
      <c r="J299" t="s">
        <v>14</v>
      </c>
      <c r="K299" t="s">
        <v>19</v>
      </c>
    </row>
    <row r="300" spans="1:11">
      <c r="A300" s="2" t="s">
        <v>325</v>
      </c>
      <c r="B300" s="2" t="s">
        <v>325</v>
      </c>
      <c r="C300" s="3">
        <v>0</v>
      </c>
      <c r="D300" s="4">
        <v>489</v>
      </c>
      <c r="E300" s="5">
        <v>15.1</v>
      </c>
      <c r="F300" s="5">
        <v>86.3</v>
      </c>
      <c r="G300" s="5">
        <v>0</v>
      </c>
      <c r="H300">
        <f>(C300/D300)*100</f>
        <v>0</v>
      </c>
      <c r="I300" t="s">
        <v>117</v>
      </c>
      <c r="J300" t="s">
        <v>28</v>
      </c>
      <c r="K300" t="s">
        <v>15</v>
      </c>
    </row>
    <row r="301" spans="1:11">
      <c r="A301" s="2" t="s">
        <v>326</v>
      </c>
      <c r="B301" s="2" t="s">
        <v>326</v>
      </c>
      <c r="C301" s="3">
        <v>0</v>
      </c>
      <c r="D301" s="4">
        <v>5</v>
      </c>
      <c r="E301" s="5">
        <v>0</v>
      </c>
      <c r="F301" s="5">
        <v>67.7</v>
      </c>
      <c r="G301" s="5">
        <v>0</v>
      </c>
      <c r="H301">
        <f>(C301/D301)*100</f>
        <v>0</v>
      </c>
      <c r="I301" t="s">
        <v>117</v>
      </c>
      <c r="J301" t="s">
        <v>118</v>
      </c>
      <c r="K301" t="s">
        <v>15</v>
      </c>
    </row>
    <row r="302" spans="1:11">
      <c r="A302" s="2" t="s">
        <v>327</v>
      </c>
      <c r="B302" s="2" t="s">
        <v>327</v>
      </c>
      <c r="C302" s="3">
        <v>2</v>
      </c>
      <c r="D302" s="4">
        <v>337</v>
      </c>
      <c r="E302" s="5">
        <v>0</v>
      </c>
      <c r="F302" s="6">
        <v>0</v>
      </c>
      <c r="G302" s="5">
        <v>0.9</v>
      </c>
      <c r="H302">
        <f>(C302/D302)*100</f>
        <v>0.59347181008902083</v>
      </c>
      <c r="I302" t="s">
        <v>13</v>
      </c>
      <c r="J302" t="s">
        <v>14</v>
      </c>
      <c r="K302" t="s">
        <v>19</v>
      </c>
    </row>
    <row r="303" spans="1:11">
      <c r="A303" s="2" t="s">
        <v>328</v>
      </c>
      <c r="B303" s="2" t="s">
        <v>328</v>
      </c>
      <c r="C303" s="3">
        <v>5</v>
      </c>
      <c r="D303" s="4">
        <v>239</v>
      </c>
      <c r="E303" s="5">
        <v>0</v>
      </c>
      <c r="F303" s="6">
        <v>0</v>
      </c>
      <c r="G303" s="5">
        <v>0.2</v>
      </c>
      <c r="H303">
        <f>(C303/D303)*100</f>
        <v>2.0920502092050208</v>
      </c>
      <c r="I303" t="s">
        <v>13</v>
      </c>
      <c r="J303" t="s">
        <v>14</v>
      </c>
      <c r="K303" t="s">
        <v>19</v>
      </c>
    </row>
    <row r="304" spans="1:11">
      <c r="A304" s="2" t="s">
        <v>329</v>
      </c>
      <c r="B304" s="2" t="s">
        <v>329</v>
      </c>
      <c r="C304" s="3">
        <v>0</v>
      </c>
      <c r="D304" s="3"/>
      <c r="E304" s="5">
        <v>0</v>
      </c>
      <c r="F304" s="6">
        <v>44.7</v>
      </c>
      <c r="G304" s="5">
        <v>0</v>
      </c>
      <c r="H304" t="e">
        <f>(C304/D304)*100</f>
        <v>#DIV/0!</v>
      </c>
      <c r="I304" t="s">
        <v>117</v>
      </c>
      <c r="J304" t="s">
        <v>118</v>
      </c>
      <c r="K304" t="s">
        <v>125</v>
      </c>
    </row>
    <row r="305" spans="1:11">
      <c r="A305" s="2" t="s">
        <v>330</v>
      </c>
      <c r="B305" s="2" t="s">
        <v>330</v>
      </c>
      <c r="C305" s="3">
        <v>71</v>
      </c>
      <c r="D305" s="4">
        <v>2929</v>
      </c>
      <c r="E305" s="5">
        <v>11.5</v>
      </c>
      <c r="F305" s="6">
        <v>0</v>
      </c>
      <c r="G305" s="5">
        <v>0.5</v>
      </c>
      <c r="H305">
        <f>(C305/D305)*100</f>
        <v>2.4240355069989761</v>
      </c>
      <c r="I305" t="s">
        <v>13</v>
      </c>
      <c r="J305" t="s">
        <v>14</v>
      </c>
      <c r="K305" t="s">
        <v>19</v>
      </c>
    </row>
    <row r="306" spans="1:11">
      <c r="A306" s="2" t="s">
        <v>331</v>
      </c>
      <c r="B306" s="2" t="s">
        <v>331</v>
      </c>
      <c r="C306" s="3">
        <v>0</v>
      </c>
      <c r="D306" s="3"/>
      <c r="E306" s="5">
        <v>0</v>
      </c>
      <c r="F306" s="5">
        <v>78</v>
      </c>
      <c r="G306" s="5">
        <v>0</v>
      </c>
      <c r="H306" t="e">
        <f>(C306/D306)*100</f>
        <v>#DIV/0!</v>
      </c>
      <c r="I306" t="s">
        <v>117</v>
      </c>
      <c r="J306" t="s">
        <v>118</v>
      </c>
      <c r="K306" t="s">
        <v>125</v>
      </c>
    </row>
    <row r="307" spans="1:11">
      <c r="A307" s="2" t="s">
        <v>332</v>
      </c>
      <c r="B307" s="2" t="s">
        <v>332</v>
      </c>
      <c r="C307" s="3"/>
      <c r="D307" s="3"/>
      <c r="E307" s="3"/>
      <c r="F307" s="3"/>
      <c r="G307" s="3"/>
      <c r="H307" t="e">
        <f>(C307/D307)*100</f>
        <v>#DIV/0!</v>
      </c>
      <c r="I307" t="s">
        <v>117</v>
      </c>
      <c r="J307" t="s">
        <v>118</v>
      </c>
      <c r="K307" t="s">
        <v>125</v>
      </c>
    </row>
    <row r="308" spans="1:11">
      <c r="A308" s="2" t="s">
        <v>333</v>
      </c>
      <c r="B308" s="2" t="s">
        <v>333</v>
      </c>
      <c r="C308" s="3"/>
      <c r="D308" s="3"/>
      <c r="E308" s="3"/>
      <c r="F308" s="3"/>
      <c r="G308" s="3"/>
      <c r="H308" t="e">
        <f>(C308/D308)*100</f>
        <v>#DIV/0!</v>
      </c>
      <c r="I308" t="s">
        <v>117</v>
      </c>
      <c r="J308" t="s">
        <v>118</v>
      </c>
      <c r="K308" t="s">
        <v>125</v>
      </c>
    </row>
    <row r="309" spans="1:11">
      <c r="A309" s="2" t="s">
        <v>334</v>
      </c>
      <c r="B309" s="2" t="s">
        <v>334</v>
      </c>
      <c r="C309" s="3">
        <v>0</v>
      </c>
      <c r="D309" s="4">
        <v>162</v>
      </c>
      <c r="E309" s="5">
        <v>0</v>
      </c>
      <c r="F309" s="5">
        <v>95.8</v>
      </c>
      <c r="G309" s="5">
        <v>0</v>
      </c>
      <c r="H309">
        <f>(C309/D309)*100</f>
        <v>0</v>
      </c>
      <c r="I309" t="s">
        <v>117</v>
      </c>
      <c r="J309" t="s">
        <v>118</v>
      </c>
      <c r="K309" t="s">
        <v>15</v>
      </c>
    </row>
    <row r="310" spans="1:11">
      <c r="A310" s="2" t="s">
        <v>335</v>
      </c>
      <c r="B310" s="2" t="s">
        <v>335</v>
      </c>
      <c r="C310" s="3">
        <v>0</v>
      </c>
      <c r="D310" s="4">
        <v>629</v>
      </c>
      <c r="E310" s="5">
        <v>11.7</v>
      </c>
      <c r="F310" s="5">
        <v>85.5</v>
      </c>
      <c r="G310" s="5">
        <v>0</v>
      </c>
      <c r="H310">
        <f>(C310/D310)*100</f>
        <v>0</v>
      </c>
      <c r="I310" t="s">
        <v>117</v>
      </c>
      <c r="J310" t="s">
        <v>28</v>
      </c>
      <c r="K310" t="s">
        <v>15</v>
      </c>
    </row>
    <row r="311" spans="1:11">
      <c r="A311" s="2" t="s">
        <v>336</v>
      </c>
      <c r="B311" s="2" t="s">
        <v>336</v>
      </c>
      <c r="C311" s="3">
        <v>5</v>
      </c>
      <c r="D311" s="4">
        <v>97</v>
      </c>
      <c r="E311" s="5">
        <v>0</v>
      </c>
      <c r="F311" s="6">
        <v>0</v>
      </c>
      <c r="G311" s="5">
        <v>0.9</v>
      </c>
      <c r="H311">
        <f>(C311/D311)*100</f>
        <v>5.1546391752577314</v>
      </c>
      <c r="I311" t="s">
        <v>13</v>
      </c>
      <c r="J311" t="s">
        <v>14</v>
      </c>
      <c r="K311" t="s">
        <v>19</v>
      </c>
    </row>
    <row r="312" spans="1:11">
      <c r="A312" s="2" t="s">
        <v>337</v>
      </c>
      <c r="B312" s="2" t="s">
        <v>337</v>
      </c>
      <c r="C312" s="3">
        <v>0</v>
      </c>
      <c r="D312" s="4">
        <v>6</v>
      </c>
      <c r="E312" s="5">
        <v>0</v>
      </c>
      <c r="F312" s="5">
        <v>78.099999999999994</v>
      </c>
      <c r="G312" s="5">
        <v>0</v>
      </c>
      <c r="H312">
        <f>(C312/D312)*100</f>
        <v>0</v>
      </c>
      <c r="I312" t="s">
        <v>117</v>
      </c>
      <c r="J312" t="s">
        <v>118</v>
      </c>
      <c r="K312" t="s">
        <v>15</v>
      </c>
    </row>
    <row r="313" spans="1:11">
      <c r="A313" s="2" t="s">
        <v>338</v>
      </c>
      <c r="B313" s="2" t="s">
        <v>338</v>
      </c>
      <c r="C313" s="3">
        <v>2</v>
      </c>
      <c r="D313" s="4">
        <v>148</v>
      </c>
      <c r="E313" s="5">
        <v>0</v>
      </c>
      <c r="F313" s="6">
        <v>0</v>
      </c>
      <c r="G313" s="5">
        <v>0.3</v>
      </c>
      <c r="H313">
        <f>(C313/D313)*100</f>
        <v>1.3513513513513513</v>
      </c>
      <c r="I313" t="s">
        <v>13</v>
      </c>
      <c r="J313" t="s">
        <v>14</v>
      </c>
      <c r="K313" t="s">
        <v>19</v>
      </c>
    </row>
    <row r="314" spans="1:11">
      <c r="A314" s="2" t="s">
        <v>339</v>
      </c>
      <c r="B314" s="2" t="s">
        <v>339</v>
      </c>
      <c r="C314" s="3">
        <v>7</v>
      </c>
      <c r="D314" s="4">
        <v>941</v>
      </c>
      <c r="E314" s="5">
        <v>2.1</v>
      </c>
      <c r="F314" s="5">
        <v>75.599999999999994</v>
      </c>
      <c r="G314" s="5">
        <v>0.2</v>
      </c>
      <c r="H314">
        <f>(C314/D314)*100</f>
        <v>0.74388947927736448</v>
      </c>
      <c r="I314" t="s">
        <v>117</v>
      </c>
      <c r="J314" t="s">
        <v>118</v>
      </c>
      <c r="K314" t="s">
        <v>15</v>
      </c>
    </row>
    <row r="315" spans="1:11">
      <c r="A315" s="2" t="s">
        <v>340</v>
      </c>
      <c r="B315" s="2" t="s">
        <v>340</v>
      </c>
      <c r="C315" s="3">
        <v>21</v>
      </c>
      <c r="D315" s="4">
        <v>3783</v>
      </c>
      <c r="E315" s="5">
        <v>10.3</v>
      </c>
      <c r="F315" s="5">
        <v>78.8</v>
      </c>
      <c r="G315" s="5">
        <v>0.1</v>
      </c>
      <c r="H315">
        <f>(C315/D315)*100</f>
        <v>0.55511498810467885</v>
      </c>
      <c r="I315" t="s">
        <v>117</v>
      </c>
      <c r="J315" t="s">
        <v>28</v>
      </c>
      <c r="K315" t="s">
        <v>15</v>
      </c>
    </row>
    <row r="316" spans="1:11">
      <c r="A316" s="2" t="s">
        <v>341</v>
      </c>
      <c r="B316" s="2" t="s">
        <v>341</v>
      </c>
      <c r="C316" s="3">
        <v>45</v>
      </c>
      <c r="D316" s="4">
        <v>1718</v>
      </c>
      <c r="E316" s="5">
        <v>7.4</v>
      </c>
      <c r="F316" s="6">
        <v>18.600000000000001</v>
      </c>
      <c r="G316" s="5">
        <v>0.4</v>
      </c>
      <c r="H316">
        <f>(C316/D316)*100</f>
        <v>2.6193247962747379</v>
      </c>
      <c r="I316" t="s">
        <v>13</v>
      </c>
      <c r="J316" t="s">
        <v>14</v>
      </c>
      <c r="K316" t="s">
        <v>19</v>
      </c>
    </row>
    <row r="317" spans="1:11">
      <c r="A317" s="2" t="s">
        <v>342</v>
      </c>
      <c r="B317" s="2" t="s">
        <v>342</v>
      </c>
      <c r="C317" s="3">
        <v>16</v>
      </c>
      <c r="D317" s="4">
        <v>325</v>
      </c>
      <c r="E317" s="5">
        <v>0</v>
      </c>
      <c r="F317" s="5">
        <v>86.1</v>
      </c>
      <c r="G317" s="5">
        <v>1</v>
      </c>
      <c r="H317">
        <f>(C317/D317)*100</f>
        <v>4.9230769230769234</v>
      </c>
      <c r="I317" t="s">
        <v>117</v>
      </c>
      <c r="J317" t="s">
        <v>118</v>
      </c>
      <c r="K317" t="s">
        <v>15</v>
      </c>
    </row>
    <row r="318" spans="1:11">
      <c r="A318" s="2" t="s">
        <v>343</v>
      </c>
      <c r="B318" s="2" t="s">
        <v>343</v>
      </c>
      <c r="C318" s="3">
        <v>0</v>
      </c>
      <c r="D318" s="4">
        <v>159</v>
      </c>
      <c r="E318" s="5">
        <v>0</v>
      </c>
      <c r="F318" s="6">
        <v>44.8</v>
      </c>
      <c r="G318" s="5">
        <v>0</v>
      </c>
      <c r="H318">
        <f>(C318/D318)*100</f>
        <v>0</v>
      </c>
      <c r="I318" t="s">
        <v>117</v>
      </c>
      <c r="J318" t="s">
        <v>28</v>
      </c>
      <c r="K318" t="s">
        <v>19</v>
      </c>
    </row>
    <row r="319" spans="1:11">
      <c r="A319" s="2" t="s">
        <v>344</v>
      </c>
      <c r="B319" s="2" t="s">
        <v>344</v>
      </c>
      <c r="C319" s="3">
        <v>8</v>
      </c>
      <c r="D319" s="4">
        <v>220</v>
      </c>
      <c r="E319" s="5">
        <v>0</v>
      </c>
      <c r="F319" s="5">
        <v>97.2</v>
      </c>
      <c r="G319" s="5">
        <v>0.3</v>
      </c>
      <c r="H319">
        <f>(C319/D319)*100</f>
        <v>3.6363636363636362</v>
      </c>
      <c r="I319" t="s">
        <v>117</v>
      </c>
      <c r="J319" t="s">
        <v>118</v>
      </c>
      <c r="K319" t="s">
        <v>15</v>
      </c>
    </row>
    <row r="320" spans="1:11">
      <c r="A320" s="2" t="s">
        <v>345</v>
      </c>
      <c r="B320" s="2" t="s">
        <v>345</v>
      </c>
      <c r="C320" s="3">
        <v>2</v>
      </c>
      <c r="D320" s="3"/>
      <c r="E320" s="5">
        <v>0</v>
      </c>
      <c r="F320" s="5">
        <v>69.8</v>
      </c>
      <c r="G320" s="5">
        <v>0</v>
      </c>
      <c r="H320" t="e">
        <f>(C320/D320)*100</f>
        <v>#DIV/0!</v>
      </c>
      <c r="I320" t="s">
        <v>117</v>
      </c>
      <c r="J320" t="s">
        <v>118</v>
      </c>
      <c r="K320" t="s">
        <v>125</v>
      </c>
    </row>
    <row r="321" spans="1:11">
      <c r="A321" s="2" t="s">
        <v>346</v>
      </c>
      <c r="B321" s="2" t="s">
        <v>346</v>
      </c>
      <c r="C321" s="3"/>
      <c r="D321" s="3"/>
      <c r="E321" s="3"/>
      <c r="F321" s="3"/>
      <c r="G321" s="3"/>
      <c r="H321" t="e">
        <f>(C321/D321)*100</f>
        <v>#DIV/0!</v>
      </c>
      <c r="I321" t="s">
        <v>117</v>
      </c>
      <c r="J321" t="s">
        <v>118</v>
      </c>
      <c r="K321" t="s">
        <v>125</v>
      </c>
    </row>
    <row r="322" spans="1:11">
      <c r="A322" s="2" t="s">
        <v>347</v>
      </c>
      <c r="B322" s="2" t="s">
        <v>347</v>
      </c>
      <c r="C322" s="3">
        <v>4</v>
      </c>
      <c r="D322" s="4">
        <v>388</v>
      </c>
      <c r="E322" s="5">
        <v>8.4</v>
      </c>
      <c r="F322" s="6">
        <v>0</v>
      </c>
      <c r="G322" s="5">
        <v>0.2</v>
      </c>
      <c r="H322">
        <f>(C322/D322)*100</f>
        <v>1.0309278350515463</v>
      </c>
      <c r="I322" t="s">
        <v>13</v>
      </c>
      <c r="J322" t="s">
        <v>14</v>
      </c>
      <c r="K322" t="s">
        <v>19</v>
      </c>
    </row>
    <row r="323" spans="1:11">
      <c r="A323" s="2" t="s">
        <v>348</v>
      </c>
      <c r="B323" s="2" t="s">
        <v>348</v>
      </c>
      <c r="C323" s="3">
        <v>4203</v>
      </c>
      <c r="D323" s="4">
        <v>83495</v>
      </c>
      <c r="E323" s="5">
        <v>19.399999999999999</v>
      </c>
      <c r="F323" s="6">
        <v>0</v>
      </c>
      <c r="G323" s="5">
        <v>0.9</v>
      </c>
      <c r="H323">
        <f>(C323/D323)*100</f>
        <v>5.033834361339002</v>
      </c>
      <c r="I323" t="s">
        <v>13</v>
      </c>
      <c r="J323" t="s">
        <v>14</v>
      </c>
      <c r="K323" t="s">
        <v>19</v>
      </c>
    </row>
    <row r="324" spans="1:11">
      <c r="A324" s="2" t="s">
        <v>349</v>
      </c>
      <c r="B324" s="2" t="s">
        <v>349</v>
      </c>
      <c r="C324" s="3">
        <v>179</v>
      </c>
      <c r="D324" s="4">
        <v>4041</v>
      </c>
      <c r="E324" s="5">
        <v>13.1</v>
      </c>
      <c r="F324" s="6">
        <v>0</v>
      </c>
      <c r="G324" s="5">
        <v>1.3</v>
      </c>
      <c r="H324">
        <f>(C324/D324)*100</f>
        <v>4.4295966344964119</v>
      </c>
      <c r="I324" t="s">
        <v>13</v>
      </c>
      <c r="J324" t="s">
        <v>14</v>
      </c>
      <c r="K324" t="s">
        <v>19</v>
      </c>
    </row>
    <row r="325" spans="1:11">
      <c r="A325" s="2" t="s">
        <v>350</v>
      </c>
      <c r="B325" s="2" t="s">
        <v>350</v>
      </c>
      <c r="C325" s="3"/>
      <c r="D325" s="3"/>
      <c r="E325" s="3"/>
      <c r="F325" s="3"/>
      <c r="G325" s="3"/>
      <c r="H325" t="e">
        <f>(C325/D325)*100</f>
        <v>#DIV/0!</v>
      </c>
      <c r="I325" t="s">
        <v>117</v>
      </c>
      <c r="J325" t="s">
        <v>118</v>
      </c>
      <c r="K325" t="s">
        <v>125</v>
      </c>
    </row>
    <row r="326" spans="1:11">
      <c r="A326" s="2" t="s">
        <v>351</v>
      </c>
      <c r="B326" s="2" t="s">
        <v>351</v>
      </c>
      <c r="C326" s="3">
        <v>1</v>
      </c>
      <c r="D326" s="4">
        <v>750</v>
      </c>
      <c r="E326" s="5">
        <v>4.7</v>
      </c>
      <c r="F326" s="5">
        <v>84.6</v>
      </c>
      <c r="G326" s="5">
        <v>0.1</v>
      </c>
      <c r="H326">
        <f>(C326/D326)*100</f>
        <v>0.13333333333333333</v>
      </c>
      <c r="I326" t="s">
        <v>117</v>
      </c>
      <c r="J326" t="s">
        <v>28</v>
      </c>
      <c r="K326" t="s">
        <v>15</v>
      </c>
    </row>
    <row r="327" spans="1:11">
      <c r="A327" s="2" t="s">
        <v>352</v>
      </c>
      <c r="B327" s="2" t="s">
        <v>352</v>
      </c>
      <c r="C327" s="3">
        <v>2134</v>
      </c>
      <c r="D327" s="4">
        <v>29224</v>
      </c>
      <c r="E327" s="5">
        <v>19.5</v>
      </c>
      <c r="F327" s="6">
        <v>1.9</v>
      </c>
      <c r="G327" s="5">
        <v>2</v>
      </c>
      <c r="H327">
        <f>(C327/D327)*100</f>
        <v>7.3022173555981382</v>
      </c>
      <c r="I327" t="s">
        <v>13</v>
      </c>
      <c r="J327" t="s">
        <v>14</v>
      </c>
      <c r="K327" t="s">
        <v>19</v>
      </c>
    </row>
    <row r="328" spans="1:11">
      <c r="A328" s="2" t="s">
        <v>353</v>
      </c>
      <c r="B328" s="2" t="s">
        <v>353</v>
      </c>
      <c r="C328" s="3">
        <v>8</v>
      </c>
      <c r="D328" s="4">
        <v>779</v>
      </c>
      <c r="E328" s="5">
        <v>0</v>
      </c>
      <c r="F328" s="6">
        <v>0</v>
      </c>
      <c r="G328" s="5">
        <v>0.2</v>
      </c>
      <c r="H328">
        <f>(C328/D328)*100</f>
        <v>1.0269576379974326</v>
      </c>
      <c r="I328" t="s">
        <v>13</v>
      </c>
      <c r="J328" t="s">
        <v>14</v>
      </c>
      <c r="K328" t="s">
        <v>19</v>
      </c>
    </row>
    <row r="329" spans="1:11">
      <c r="A329" s="2" t="s">
        <v>354</v>
      </c>
      <c r="B329" s="2" t="s">
        <v>354</v>
      </c>
      <c r="C329" s="3">
        <v>0</v>
      </c>
      <c r="D329" s="3"/>
      <c r="E329" s="5">
        <v>0</v>
      </c>
      <c r="F329" s="5">
        <v>77.5</v>
      </c>
      <c r="G329" s="5">
        <v>0</v>
      </c>
      <c r="H329" t="e">
        <f>(C329/D329)*100</f>
        <v>#DIV/0!</v>
      </c>
      <c r="I329" t="s">
        <v>117</v>
      </c>
      <c r="J329" t="s">
        <v>118</v>
      </c>
      <c r="K329" t="s">
        <v>125</v>
      </c>
    </row>
    <row r="330" spans="1:11">
      <c r="A330" s="2" t="s">
        <v>355</v>
      </c>
      <c r="B330" s="2" t="s">
        <v>355</v>
      </c>
      <c r="C330" s="3">
        <v>2</v>
      </c>
      <c r="D330" s="4">
        <v>110</v>
      </c>
      <c r="E330" s="5">
        <v>19.600000000000001</v>
      </c>
      <c r="F330" s="6">
        <v>0</v>
      </c>
      <c r="G330" s="5">
        <v>0.2</v>
      </c>
      <c r="H330">
        <f>(C330/D330)*100</f>
        <v>1.8181818181818181</v>
      </c>
      <c r="I330" t="s">
        <v>13</v>
      </c>
      <c r="J330" t="s">
        <v>14</v>
      </c>
      <c r="K330" t="s">
        <v>19</v>
      </c>
    </row>
    <row r="331" spans="1:11">
      <c r="A331" s="2" t="s">
        <v>356</v>
      </c>
      <c r="B331" s="2" t="s">
        <v>356</v>
      </c>
      <c r="C331" s="3">
        <v>2</v>
      </c>
      <c r="D331" s="4">
        <v>346</v>
      </c>
      <c r="E331" s="5">
        <v>0</v>
      </c>
      <c r="F331" s="5">
        <v>95.7</v>
      </c>
      <c r="G331" s="5">
        <v>0.4</v>
      </c>
      <c r="H331">
        <f>(C331/D331)*100</f>
        <v>0.57803468208092479</v>
      </c>
      <c r="I331" t="s">
        <v>117</v>
      </c>
      <c r="J331" t="s">
        <v>118</v>
      </c>
      <c r="K331" t="s">
        <v>15</v>
      </c>
    </row>
    <row r="332" spans="1:11">
      <c r="A332" s="2" t="s">
        <v>357</v>
      </c>
      <c r="B332" s="2" t="s">
        <v>357</v>
      </c>
      <c r="C332" s="3">
        <v>0</v>
      </c>
      <c r="D332" s="4">
        <v>41068</v>
      </c>
      <c r="E332" s="5">
        <v>0</v>
      </c>
      <c r="F332" s="3"/>
      <c r="G332" s="5">
        <v>0</v>
      </c>
      <c r="H332">
        <f>(C332/D332)*100</f>
        <v>0</v>
      </c>
      <c r="I332" t="s">
        <v>117</v>
      </c>
      <c r="J332" t="s">
        <v>118</v>
      </c>
      <c r="K332" t="s">
        <v>15</v>
      </c>
    </row>
    <row r="333" spans="1:11">
      <c r="A333" s="2" t="s">
        <v>358</v>
      </c>
      <c r="B333" s="2" t="s">
        <v>358</v>
      </c>
      <c r="C333" s="3">
        <v>0</v>
      </c>
      <c r="D333" s="4">
        <v>41</v>
      </c>
      <c r="E333" s="5">
        <v>0</v>
      </c>
      <c r="F333" s="3"/>
      <c r="G333" s="5">
        <v>0</v>
      </c>
      <c r="H333">
        <f>(C333/D333)*100</f>
        <v>0</v>
      </c>
      <c r="I333" t="s">
        <v>117</v>
      </c>
      <c r="J333" t="s">
        <v>118</v>
      </c>
      <c r="K333" t="s">
        <v>15</v>
      </c>
    </row>
    <row r="334" spans="1:11">
      <c r="A334" s="2" t="s">
        <v>359</v>
      </c>
      <c r="B334" s="2" t="s">
        <v>359</v>
      </c>
      <c r="C334" s="3">
        <v>53</v>
      </c>
      <c r="D334" s="4">
        <v>6998</v>
      </c>
      <c r="E334" s="5">
        <v>5.5</v>
      </c>
      <c r="F334" s="5">
        <v>53.7</v>
      </c>
      <c r="G334" s="5">
        <v>0.1</v>
      </c>
      <c r="H334">
        <f>(C334/D334)*100</f>
        <v>0.75735924549871392</v>
      </c>
      <c r="I334" t="s">
        <v>117</v>
      </c>
      <c r="J334" t="s">
        <v>28</v>
      </c>
      <c r="K334" t="s">
        <v>15</v>
      </c>
    </row>
    <row r="335" spans="1:11">
      <c r="A335" s="2" t="s">
        <v>360</v>
      </c>
      <c r="B335" s="2" t="s">
        <v>360</v>
      </c>
      <c r="C335" s="3">
        <v>98</v>
      </c>
      <c r="D335" s="4">
        <v>10090</v>
      </c>
      <c r="E335" s="5">
        <v>7.4</v>
      </c>
      <c r="F335" s="6">
        <v>36.1</v>
      </c>
      <c r="G335" s="5">
        <v>0.2</v>
      </c>
      <c r="H335">
        <f>(C335/D335)*100</f>
        <v>0.9712586719524281</v>
      </c>
      <c r="I335" t="s">
        <v>117</v>
      </c>
      <c r="J335" t="s">
        <v>28</v>
      </c>
      <c r="K335" t="s">
        <v>19</v>
      </c>
    </row>
    <row r="336" spans="1:11">
      <c r="A336" s="2" t="s">
        <v>361</v>
      </c>
      <c r="B336" s="2" t="s">
        <v>361</v>
      </c>
      <c r="C336" s="3">
        <v>248</v>
      </c>
      <c r="D336" s="4">
        <v>5043</v>
      </c>
      <c r="E336" s="5">
        <v>5.8</v>
      </c>
      <c r="F336" s="6">
        <v>0</v>
      </c>
      <c r="G336" s="5">
        <v>0.3</v>
      </c>
      <c r="H336">
        <f>(C336/D336)*100</f>
        <v>4.9177077136625025</v>
      </c>
      <c r="I336" t="s">
        <v>13</v>
      </c>
      <c r="J336" t="s">
        <v>14</v>
      </c>
      <c r="K336" t="s">
        <v>19</v>
      </c>
    </row>
    <row r="337" spans="1:11">
      <c r="A337" s="2" t="s">
        <v>362</v>
      </c>
      <c r="B337" s="2" t="s">
        <v>362</v>
      </c>
      <c r="C337" s="3">
        <v>293</v>
      </c>
      <c r="D337" s="4">
        <v>5985</v>
      </c>
      <c r="E337" s="5">
        <v>18.600000000000001</v>
      </c>
      <c r="F337" s="6">
        <v>0</v>
      </c>
      <c r="G337" s="5">
        <v>1.5</v>
      </c>
      <c r="H337">
        <f>(C337/D337)*100</f>
        <v>4.8955722639933166</v>
      </c>
      <c r="I337" t="s">
        <v>13</v>
      </c>
      <c r="J337" t="s">
        <v>14</v>
      </c>
      <c r="K337" t="s">
        <v>19</v>
      </c>
    </row>
    <row r="338" spans="1:11">
      <c r="A338" s="2" t="s">
        <v>363</v>
      </c>
      <c r="B338" s="2" t="s">
        <v>363</v>
      </c>
      <c r="C338" s="3">
        <v>63</v>
      </c>
      <c r="D338" s="4">
        <v>6742</v>
      </c>
      <c r="E338" s="5">
        <v>4.0999999999999996</v>
      </c>
      <c r="F338" s="5">
        <v>50.4</v>
      </c>
      <c r="G338" s="5">
        <v>0.3</v>
      </c>
      <c r="H338">
        <f>(C338/D338)*100</f>
        <v>0.93444081874814588</v>
      </c>
      <c r="I338" t="s">
        <v>117</v>
      </c>
      <c r="J338" t="s">
        <v>28</v>
      </c>
      <c r="K338" t="s">
        <v>15</v>
      </c>
    </row>
    <row r="339" spans="1:11">
      <c r="A339" s="2" t="s">
        <v>364</v>
      </c>
      <c r="B339" s="2" t="s">
        <v>364</v>
      </c>
      <c r="C339" s="3">
        <v>32</v>
      </c>
      <c r="D339" s="4">
        <v>905</v>
      </c>
      <c r="E339" s="5">
        <v>2.1</v>
      </c>
      <c r="F339" s="6">
        <v>38</v>
      </c>
      <c r="G339" s="5">
        <v>0.7</v>
      </c>
      <c r="H339">
        <f>(C339/D339)*100</f>
        <v>3.535911602209945</v>
      </c>
      <c r="I339" t="s">
        <v>117</v>
      </c>
      <c r="J339" t="s">
        <v>28</v>
      </c>
      <c r="K339" t="s">
        <v>19</v>
      </c>
    </row>
    <row r="340" spans="1:11">
      <c r="A340" s="2" t="s">
        <v>365</v>
      </c>
      <c r="B340" s="2" t="s">
        <v>365</v>
      </c>
      <c r="C340" s="3">
        <v>5</v>
      </c>
      <c r="D340" s="4">
        <v>121</v>
      </c>
      <c r="E340" s="5">
        <v>0</v>
      </c>
      <c r="F340" s="6">
        <v>0</v>
      </c>
      <c r="G340" s="5">
        <v>1.4</v>
      </c>
      <c r="H340">
        <f>(C340/D340)*100</f>
        <v>4.1322314049586781</v>
      </c>
      <c r="I340" t="s">
        <v>13</v>
      </c>
      <c r="J340" t="s">
        <v>14</v>
      </c>
      <c r="K340" t="s">
        <v>19</v>
      </c>
    </row>
    <row r="341" spans="1:11">
      <c r="A341" s="2" t="s">
        <v>366</v>
      </c>
      <c r="B341" s="2" t="s">
        <v>366</v>
      </c>
      <c r="C341" s="3">
        <v>63</v>
      </c>
      <c r="D341" s="4">
        <v>21576</v>
      </c>
      <c r="E341" s="5">
        <v>2.4</v>
      </c>
      <c r="F341" s="5">
        <v>57.1</v>
      </c>
      <c r="G341" s="5">
        <v>0.1</v>
      </c>
      <c r="H341">
        <f>(C341/D341)*100</f>
        <v>0.29199110122358179</v>
      </c>
      <c r="I341" t="s">
        <v>117</v>
      </c>
      <c r="J341" t="s">
        <v>118</v>
      </c>
      <c r="K341" t="s">
        <v>15</v>
      </c>
    </row>
    <row r="342" spans="1:11">
      <c r="A342" s="2" t="s">
        <v>367</v>
      </c>
      <c r="B342" s="2" t="s">
        <v>367</v>
      </c>
      <c r="C342" s="3">
        <v>24</v>
      </c>
      <c r="D342" s="4">
        <v>1193</v>
      </c>
      <c r="E342" s="5">
        <v>14.3</v>
      </c>
      <c r="F342" s="5">
        <v>56.5</v>
      </c>
      <c r="G342" s="5">
        <v>0.2</v>
      </c>
      <c r="H342">
        <f>(C342/D342)*100</f>
        <v>2.0117351215423303</v>
      </c>
      <c r="I342" t="s">
        <v>117</v>
      </c>
      <c r="J342" t="s">
        <v>28</v>
      </c>
      <c r="K342" t="s">
        <v>15</v>
      </c>
    </row>
    <row r="343" spans="1:11">
      <c r="A343" s="2" t="s">
        <v>368</v>
      </c>
      <c r="B343" s="2" t="s">
        <v>368</v>
      </c>
      <c r="C343" s="3">
        <v>24</v>
      </c>
      <c r="D343" s="4">
        <v>987</v>
      </c>
      <c r="E343" s="5">
        <v>12.8</v>
      </c>
      <c r="F343" s="6">
        <v>0</v>
      </c>
      <c r="G343" s="5">
        <v>0.3</v>
      </c>
      <c r="H343">
        <f>(C343/D343)*100</f>
        <v>2.43161094224924</v>
      </c>
      <c r="I343" t="s">
        <v>13</v>
      </c>
      <c r="J343" t="s">
        <v>14</v>
      </c>
      <c r="K343" t="s">
        <v>19</v>
      </c>
    </row>
    <row r="344" spans="1:11">
      <c r="A344" s="2" t="s">
        <v>369</v>
      </c>
      <c r="B344" s="2" t="s">
        <v>369</v>
      </c>
      <c r="C344" s="3">
        <v>69</v>
      </c>
      <c r="D344" s="4">
        <v>6130</v>
      </c>
      <c r="E344" s="5">
        <v>3.1</v>
      </c>
      <c r="F344" s="5">
        <v>59.1</v>
      </c>
      <c r="G344" s="5">
        <v>0.1</v>
      </c>
      <c r="H344">
        <f>(C344/D344)*100</f>
        <v>1.1256117455138663</v>
      </c>
      <c r="I344" t="s">
        <v>117</v>
      </c>
      <c r="J344" t="s">
        <v>28</v>
      </c>
      <c r="K344" t="s">
        <v>15</v>
      </c>
    </row>
    <row r="345" spans="1:11">
      <c r="A345" s="2" t="s">
        <v>370</v>
      </c>
      <c r="B345" s="2" t="s">
        <v>370</v>
      </c>
      <c r="C345" s="3">
        <v>25</v>
      </c>
      <c r="D345" s="4">
        <v>1347</v>
      </c>
      <c r="E345" s="5">
        <v>0</v>
      </c>
      <c r="F345" s="6">
        <v>0</v>
      </c>
      <c r="G345" s="5">
        <v>0.3</v>
      </c>
      <c r="H345">
        <f>(C345/D345)*100</f>
        <v>1.855976243504083</v>
      </c>
      <c r="I345" t="s">
        <v>13</v>
      </c>
      <c r="J345" t="s">
        <v>14</v>
      </c>
      <c r="K345" t="s">
        <v>19</v>
      </c>
    </row>
    <row r="346" spans="1:11">
      <c r="A346" s="2" t="s">
        <v>371</v>
      </c>
      <c r="B346" s="2" t="s">
        <v>371</v>
      </c>
      <c r="C346" s="3">
        <v>21</v>
      </c>
      <c r="D346" s="4">
        <v>3098</v>
      </c>
      <c r="E346" s="5">
        <v>0</v>
      </c>
      <c r="F346" s="3"/>
      <c r="G346" s="5">
        <v>0.1</v>
      </c>
      <c r="H346">
        <f>(C346/D346)*100</f>
        <v>0.67785668173014846</v>
      </c>
      <c r="I346" t="s">
        <v>117</v>
      </c>
      <c r="J346" t="s">
        <v>118</v>
      </c>
      <c r="K346" t="s">
        <v>15</v>
      </c>
    </row>
    <row r="347" spans="1:11">
      <c r="A347" s="2" t="s">
        <v>372</v>
      </c>
      <c r="B347" s="2" t="s">
        <v>372</v>
      </c>
      <c r="C347" s="3">
        <v>0</v>
      </c>
      <c r="D347" s="4">
        <v>60</v>
      </c>
      <c r="E347" s="5">
        <v>0</v>
      </c>
      <c r="F347" s="3"/>
      <c r="G347" s="5">
        <v>0</v>
      </c>
      <c r="H347">
        <f>(C347/D347)*100</f>
        <v>0</v>
      </c>
      <c r="I347" t="s">
        <v>117</v>
      </c>
      <c r="J347" t="s">
        <v>118</v>
      </c>
      <c r="K347" t="s">
        <v>15</v>
      </c>
    </row>
    <row r="348" spans="1:11">
      <c r="A348" s="2" t="s">
        <v>373</v>
      </c>
      <c r="B348" s="2" t="s">
        <v>373</v>
      </c>
      <c r="C348" s="3">
        <v>7</v>
      </c>
      <c r="D348" s="4">
        <v>7975</v>
      </c>
      <c r="E348" s="5">
        <v>3.9</v>
      </c>
      <c r="F348" s="5">
        <v>77.7</v>
      </c>
      <c r="G348" s="5">
        <v>0</v>
      </c>
      <c r="H348">
        <f>(C348/D348)*100</f>
        <v>8.7774294670846395E-2</v>
      </c>
      <c r="I348" t="s">
        <v>117</v>
      </c>
      <c r="J348" t="s">
        <v>28</v>
      </c>
      <c r="K348" t="s">
        <v>15</v>
      </c>
    </row>
    <row r="349" spans="1:11">
      <c r="A349" s="2" t="s">
        <v>374</v>
      </c>
      <c r="B349" s="2" t="s">
        <v>374</v>
      </c>
      <c r="C349" s="3"/>
      <c r="D349" s="3"/>
      <c r="E349" s="3"/>
      <c r="F349" s="3"/>
      <c r="G349" s="3"/>
      <c r="H349" t="e">
        <f>(C349/D349)*100</f>
        <v>#DIV/0!</v>
      </c>
      <c r="I349" t="s">
        <v>117</v>
      </c>
      <c r="J349" t="s">
        <v>118</v>
      </c>
      <c r="K349" t="s">
        <v>125</v>
      </c>
    </row>
    <row r="350" spans="1:11">
      <c r="A350" s="2" t="s">
        <v>375</v>
      </c>
      <c r="B350" s="2" t="s">
        <v>375</v>
      </c>
      <c r="C350" s="3"/>
      <c r="D350" s="3"/>
      <c r="E350" s="3"/>
      <c r="F350" s="3"/>
      <c r="G350" s="3"/>
      <c r="H350" t="e">
        <f>(C350/D350)*100</f>
        <v>#DIV/0!</v>
      </c>
      <c r="I350" t="s">
        <v>117</v>
      </c>
      <c r="J350" t="s">
        <v>118</v>
      </c>
      <c r="K350" t="s">
        <v>125</v>
      </c>
    </row>
    <row r="351" spans="1:11">
      <c r="A351" s="2" t="s">
        <v>376</v>
      </c>
      <c r="B351" s="2" t="s">
        <v>376</v>
      </c>
      <c r="C351" s="3">
        <v>6</v>
      </c>
      <c r="D351" s="4">
        <v>427</v>
      </c>
      <c r="E351" s="5">
        <v>0</v>
      </c>
      <c r="F351" s="5">
        <v>73.599999999999994</v>
      </c>
      <c r="G351" s="5">
        <v>0.4</v>
      </c>
      <c r="H351">
        <f>(C351/D351)*100</f>
        <v>1.405152224824356</v>
      </c>
      <c r="I351" t="s">
        <v>117</v>
      </c>
      <c r="J351" t="s">
        <v>118</v>
      </c>
      <c r="K351" t="s">
        <v>15</v>
      </c>
    </row>
    <row r="352" spans="1:11">
      <c r="A352" s="2" t="s">
        <v>377</v>
      </c>
      <c r="B352" s="2" t="s">
        <v>377</v>
      </c>
      <c r="C352" s="3">
        <v>2</v>
      </c>
      <c r="D352" s="4">
        <v>592</v>
      </c>
      <c r="E352" s="5">
        <v>15.4</v>
      </c>
      <c r="F352" s="6">
        <v>0</v>
      </c>
      <c r="G352" s="5">
        <v>0</v>
      </c>
      <c r="H352">
        <f>(C352/D352)*100</f>
        <v>0.33783783783783783</v>
      </c>
      <c r="I352" t="s">
        <v>13</v>
      </c>
      <c r="J352" t="s">
        <v>14</v>
      </c>
      <c r="K352" t="s">
        <v>19</v>
      </c>
    </row>
    <row r="353" spans="1:11">
      <c r="A353" s="2" t="s">
        <v>378</v>
      </c>
      <c r="B353" s="2" t="s">
        <v>378</v>
      </c>
      <c r="C353" s="3">
        <v>53</v>
      </c>
      <c r="D353" s="4">
        <v>12961</v>
      </c>
      <c r="E353" s="5">
        <v>11.8</v>
      </c>
      <c r="F353" s="6">
        <v>33.700000000000003</v>
      </c>
      <c r="G353" s="5">
        <v>0.1</v>
      </c>
      <c r="H353">
        <f>(C353/D353)*100</f>
        <v>0.40891906488696855</v>
      </c>
      <c r="I353" t="s">
        <v>117</v>
      </c>
      <c r="J353" t="s">
        <v>28</v>
      </c>
      <c r="K353" t="s">
        <v>19</v>
      </c>
    </row>
    <row r="354" spans="1:11">
      <c r="A354" s="2" t="s">
        <v>379</v>
      </c>
      <c r="B354" s="2" t="s">
        <v>379</v>
      </c>
      <c r="C354" s="3">
        <v>260</v>
      </c>
      <c r="D354" s="4">
        <v>7294</v>
      </c>
      <c r="E354" s="5">
        <v>10.5</v>
      </c>
      <c r="F354" s="6">
        <v>8.3000000000000007</v>
      </c>
      <c r="G354" s="5">
        <v>0.6</v>
      </c>
      <c r="H354">
        <f>(C354/D354)*100</f>
        <v>3.564573622155196</v>
      </c>
      <c r="I354" t="s">
        <v>13</v>
      </c>
      <c r="J354" t="s">
        <v>14</v>
      </c>
      <c r="K354" t="s">
        <v>19</v>
      </c>
    </row>
    <row r="355" spans="1:11">
      <c r="A355" s="2" t="s">
        <v>380</v>
      </c>
      <c r="B355" s="2" t="s">
        <v>380</v>
      </c>
      <c r="C355" s="3">
        <v>1</v>
      </c>
      <c r="D355" s="4">
        <v>16</v>
      </c>
      <c r="E355" s="5">
        <v>0</v>
      </c>
      <c r="F355" s="3"/>
      <c r="G355" s="5">
        <v>0</v>
      </c>
      <c r="H355">
        <f>(C355/D355)*100</f>
        <v>6.25</v>
      </c>
      <c r="I355" t="s">
        <v>117</v>
      </c>
      <c r="J355" t="s">
        <v>118</v>
      </c>
      <c r="K355" t="s">
        <v>15</v>
      </c>
    </row>
    <row r="356" spans="1:11">
      <c r="A356" s="2" t="s">
        <v>381</v>
      </c>
      <c r="B356" s="2" t="s">
        <v>381</v>
      </c>
      <c r="C356" s="3">
        <v>0</v>
      </c>
      <c r="D356" s="4">
        <v>56</v>
      </c>
      <c r="E356" s="5">
        <v>0</v>
      </c>
      <c r="F356" s="3"/>
      <c r="G356" s="5">
        <v>0</v>
      </c>
      <c r="H356">
        <f>(C356/D356)*100</f>
        <v>0</v>
      </c>
      <c r="I356" t="s">
        <v>117</v>
      </c>
      <c r="J356" t="s">
        <v>118</v>
      </c>
      <c r="K356" t="s">
        <v>15</v>
      </c>
    </row>
    <row r="357" spans="1:11">
      <c r="A357" s="2" t="s">
        <v>382</v>
      </c>
      <c r="B357" s="2" t="s">
        <v>382</v>
      </c>
      <c r="C357" s="3">
        <v>0</v>
      </c>
      <c r="D357" s="3"/>
      <c r="E357" s="5">
        <v>0</v>
      </c>
      <c r="F357" s="3"/>
      <c r="G357" s="5">
        <v>0</v>
      </c>
      <c r="H357" t="e">
        <f>(C357/D357)*100</f>
        <v>#DIV/0!</v>
      </c>
      <c r="I357" t="s">
        <v>117</v>
      </c>
      <c r="J357" t="s">
        <v>118</v>
      </c>
      <c r="K357" t="s">
        <v>125</v>
      </c>
    </row>
    <row r="358" spans="1:11">
      <c r="A358" s="2" t="s">
        <v>383</v>
      </c>
      <c r="B358" s="2" t="s">
        <v>383</v>
      </c>
      <c r="C358" s="3">
        <v>1</v>
      </c>
      <c r="D358" s="4">
        <v>153</v>
      </c>
      <c r="E358" s="5">
        <v>0</v>
      </c>
      <c r="F358" s="3"/>
      <c r="G358" s="5">
        <v>0.1</v>
      </c>
      <c r="H358">
        <f>(C358/D358)*100</f>
        <v>0.65359477124183007</v>
      </c>
      <c r="I358" t="s">
        <v>117</v>
      </c>
      <c r="J358" t="s">
        <v>118</v>
      </c>
      <c r="K358" t="s">
        <v>15</v>
      </c>
    </row>
    <row r="359" spans="1:11">
      <c r="A359" s="2" t="s">
        <v>384</v>
      </c>
      <c r="B359" s="2" t="s">
        <v>384</v>
      </c>
      <c r="C359" s="3">
        <v>0</v>
      </c>
      <c r="D359" s="4">
        <v>25</v>
      </c>
      <c r="E359" s="5">
        <v>0</v>
      </c>
      <c r="F359" s="3"/>
      <c r="G359" s="5">
        <v>0</v>
      </c>
      <c r="H359">
        <f>(C359/D359)*100</f>
        <v>0</v>
      </c>
      <c r="I359" t="s">
        <v>117</v>
      </c>
      <c r="J359" t="s">
        <v>118</v>
      </c>
      <c r="K359" t="s">
        <v>15</v>
      </c>
    </row>
    <row r="360" spans="1:11">
      <c r="A360" s="2" t="s">
        <v>385</v>
      </c>
      <c r="B360" s="9" t="s">
        <v>385</v>
      </c>
      <c r="C360" s="3">
        <v>0</v>
      </c>
      <c r="D360" s="4">
        <v>4</v>
      </c>
      <c r="E360" s="5">
        <v>0</v>
      </c>
      <c r="F360" s="3"/>
      <c r="G360" s="5">
        <v>0</v>
      </c>
      <c r="H360">
        <f>(C360/D360)*100</f>
        <v>0</v>
      </c>
      <c r="I360" t="s">
        <v>117</v>
      </c>
      <c r="J360" t="s">
        <v>118</v>
      </c>
      <c r="K360" t="s">
        <v>15</v>
      </c>
    </row>
    <row r="361" spans="1:11">
      <c r="A361" s="2" t="s">
        <v>386</v>
      </c>
      <c r="B361" s="2" t="s">
        <v>386</v>
      </c>
      <c r="C361" s="3">
        <v>253</v>
      </c>
      <c r="D361" s="4">
        <v>6978</v>
      </c>
      <c r="E361" s="5">
        <v>14.3</v>
      </c>
      <c r="F361" s="6">
        <v>0</v>
      </c>
      <c r="G361" s="5">
        <v>1.5</v>
      </c>
      <c r="H361">
        <f>(C361/D361)*100</f>
        <v>3.6256807108053879</v>
      </c>
      <c r="I361" t="s">
        <v>13</v>
      </c>
      <c r="J361" t="s">
        <v>14</v>
      </c>
      <c r="K361" t="s">
        <v>19</v>
      </c>
    </row>
    <row r="362" spans="1:11">
      <c r="A362" s="2" t="s">
        <v>387</v>
      </c>
      <c r="B362" s="2" t="s">
        <v>387</v>
      </c>
      <c r="C362" s="3">
        <v>0</v>
      </c>
      <c r="D362" s="4">
        <v>81</v>
      </c>
      <c r="E362" s="5">
        <v>0</v>
      </c>
      <c r="F362" s="3"/>
      <c r="G362" s="5">
        <v>0</v>
      </c>
      <c r="H362">
        <f>(C362/D362)*100</f>
        <v>0</v>
      </c>
      <c r="I362" t="s">
        <v>117</v>
      </c>
      <c r="J362" t="s">
        <v>118</v>
      </c>
      <c r="K362" t="s">
        <v>15</v>
      </c>
    </row>
    <row r="363" spans="1:11">
      <c r="A363" s="2" t="s">
        <v>388</v>
      </c>
      <c r="B363" s="2" t="s">
        <v>388</v>
      </c>
      <c r="C363" s="3">
        <v>31</v>
      </c>
      <c r="D363" s="4">
        <v>1282</v>
      </c>
      <c r="E363" s="5">
        <v>3.4</v>
      </c>
      <c r="F363" s="6">
        <v>0</v>
      </c>
      <c r="G363" s="5">
        <v>1.4</v>
      </c>
      <c r="H363">
        <f>(C363/D363)*100</f>
        <v>2.4180967238689548</v>
      </c>
      <c r="I363" t="s">
        <v>13</v>
      </c>
      <c r="J363" t="s">
        <v>14</v>
      </c>
      <c r="K363" t="s">
        <v>19</v>
      </c>
    </row>
    <row r="364" spans="1:11">
      <c r="A364" s="2" t="s">
        <v>389</v>
      </c>
      <c r="B364" s="2" t="s">
        <v>389</v>
      </c>
      <c r="C364" s="3">
        <v>0</v>
      </c>
      <c r="D364" s="3"/>
      <c r="E364" s="5">
        <v>0</v>
      </c>
      <c r="F364" s="3"/>
      <c r="G364" s="5">
        <v>0</v>
      </c>
      <c r="H364" t="e">
        <f>(C364/D364)*100</f>
        <v>#DIV/0!</v>
      </c>
      <c r="I364" t="s">
        <v>117</v>
      </c>
      <c r="J364" t="s">
        <v>118</v>
      </c>
      <c r="K364" t="s">
        <v>125</v>
      </c>
    </row>
    <row r="365" spans="1:11">
      <c r="A365" s="2" t="s">
        <v>390</v>
      </c>
      <c r="B365" s="2" t="s">
        <v>390</v>
      </c>
      <c r="C365" s="3"/>
      <c r="D365" s="3"/>
      <c r="E365" s="3"/>
      <c r="F365" s="3"/>
      <c r="G365" s="3"/>
      <c r="H365" t="e">
        <f>(C365/D365)*100</f>
        <v>#DIV/0!</v>
      </c>
      <c r="I365" t="s">
        <v>117</v>
      </c>
      <c r="J365" t="s">
        <v>118</v>
      </c>
      <c r="K365" t="s">
        <v>125</v>
      </c>
    </row>
    <row r="366" spans="1:11">
      <c r="A366" s="2" t="s">
        <v>391</v>
      </c>
      <c r="B366" s="2" t="s">
        <v>391</v>
      </c>
      <c r="C366" s="3">
        <v>17</v>
      </c>
      <c r="D366" s="4">
        <v>271</v>
      </c>
      <c r="E366" s="5">
        <v>0</v>
      </c>
      <c r="F366" s="5">
        <v>83.6</v>
      </c>
      <c r="G366" s="5">
        <v>1</v>
      </c>
      <c r="H366">
        <f>(C366/D366)*100</f>
        <v>6.2730627306273057</v>
      </c>
      <c r="I366" t="s">
        <v>117</v>
      </c>
      <c r="J366" t="s">
        <v>118</v>
      </c>
      <c r="K366" t="s">
        <v>15</v>
      </c>
    </row>
    <row r="367" spans="1:11">
      <c r="A367" s="2" t="s">
        <v>392</v>
      </c>
      <c r="B367" s="2" t="s">
        <v>392</v>
      </c>
      <c r="C367" s="3">
        <v>0</v>
      </c>
      <c r="D367" s="4">
        <v>10829</v>
      </c>
      <c r="E367" s="5">
        <v>0</v>
      </c>
      <c r="F367" s="3"/>
      <c r="G367" s="5">
        <v>0</v>
      </c>
      <c r="H367">
        <f>(C367/D367)*100</f>
        <v>0</v>
      </c>
      <c r="I367" t="s">
        <v>117</v>
      </c>
      <c r="J367" t="s">
        <v>118</v>
      </c>
      <c r="K367" t="s">
        <v>15</v>
      </c>
    </row>
    <row r="368" spans="1:11">
      <c r="A368" s="2" t="s">
        <v>393</v>
      </c>
      <c r="B368" s="2" t="s">
        <v>393</v>
      </c>
      <c r="C368" s="3">
        <v>19</v>
      </c>
      <c r="D368" s="4">
        <v>1719</v>
      </c>
      <c r="E368" s="5">
        <v>7.5</v>
      </c>
      <c r="F368" s="6">
        <v>0</v>
      </c>
      <c r="G368" s="5">
        <v>0.3</v>
      </c>
      <c r="H368">
        <f>(C368/D368)*100</f>
        <v>1.1052937754508436</v>
      </c>
      <c r="I368" t="s">
        <v>13</v>
      </c>
      <c r="J368" t="s">
        <v>14</v>
      </c>
      <c r="K368" t="s">
        <v>19</v>
      </c>
    </row>
    <row r="369" spans="1:12">
      <c r="A369" s="2" t="s">
        <v>394</v>
      </c>
      <c r="B369" s="9" t="s">
        <v>394</v>
      </c>
      <c r="C369" s="3">
        <v>0</v>
      </c>
      <c r="D369" s="4">
        <v>3360</v>
      </c>
      <c r="E369" s="5">
        <v>0</v>
      </c>
      <c r="F369" s="3"/>
      <c r="G369" s="5">
        <v>0</v>
      </c>
      <c r="H369">
        <f>(C369/D369)*100</f>
        <v>0</v>
      </c>
      <c r="I369" t="s">
        <v>117</v>
      </c>
      <c r="J369" t="s">
        <v>118</v>
      </c>
      <c r="K369" t="s">
        <v>15</v>
      </c>
    </row>
    <row r="370" spans="1:12" hidden="1">
      <c r="A370" s="2" t="s">
        <v>395</v>
      </c>
      <c r="B370" s="8" t="s">
        <v>395</v>
      </c>
      <c r="C370" s="3">
        <v>0</v>
      </c>
      <c r="D370" s="3"/>
      <c r="E370" s="5">
        <v>0</v>
      </c>
      <c r="F370" s="3"/>
      <c r="G370" s="5">
        <v>0</v>
      </c>
      <c r="H370" t="e">
        <f>(C370/D370)*100</f>
        <v>#DIV/0!</v>
      </c>
      <c r="I370" t="s">
        <v>396</v>
      </c>
      <c r="J370" t="s">
        <v>396</v>
      </c>
      <c r="K370" t="s">
        <v>396</v>
      </c>
      <c r="L370" t="s">
        <v>396</v>
      </c>
    </row>
    <row r="371" spans="1:12">
      <c r="A371" s="2" t="s">
        <v>397</v>
      </c>
      <c r="B371" s="2" t="s">
        <v>397</v>
      </c>
      <c r="C371" s="3">
        <v>0</v>
      </c>
      <c r="D371" s="4">
        <v>252</v>
      </c>
      <c r="E371" s="5">
        <v>0</v>
      </c>
      <c r="F371" s="3"/>
      <c r="G371" s="5">
        <v>0</v>
      </c>
      <c r="H371">
        <f>(C371/D371)*100</f>
        <v>0</v>
      </c>
      <c r="I371" t="s">
        <v>117</v>
      </c>
      <c r="J371" t="s">
        <v>118</v>
      </c>
      <c r="K371" t="s">
        <v>15</v>
      </c>
    </row>
    <row r="372" spans="1:12">
      <c r="A372" s="2" t="s">
        <v>398</v>
      </c>
      <c r="B372" s="2" t="s">
        <v>398</v>
      </c>
      <c r="C372" s="3">
        <v>0</v>
      </c>
      <c r="D372" s="4">
        <v>144</v>
      </c>
      <c r="E372" s="5">
        <v>0</v>
      </c>
      <c r="F372" s="3"/>
      <c r="G372" s="5">
        <v>0</v>
      </c>
      <c r="H372">
        <f>(C372/D372)*100</f>
        <v>0</v>
      </c>
      <c r="I372" t="s">
        <v>117</v>
      </c>
      <c r="J372" t="s">
        <v>118</v>
      </c>
      <c r="K372" t="s">
        <v>15</v>
      </c>
    </row>
    <row r="373" spans="1:12">
      <c r="A373" s="2" t="s">
        <v>399</v>
      </c>
      <c r="B373" s="2" t="s">
        <v>399</v>
      </c>
      <c r="C373" s="3">
        <v>5</v>
      </c>
      <c r="D373" s="4">
        <v>407</v>
      </c>
      <c r="E373" s="5">
        <v>0</v>
      </c>
      <c r="F373" s="6">
        <v>0</v>
      </c>
      <c r="G373" s="5">
        <v>0.2</v>
      </c>
      <c r="H373">
        <f>(C373/D373)*100</f>
        <v>1.2285012285012284</v>
      </c>
      <c r="I373" t="s">
        <v>13</v>
      </c>
      <c r="J373" t="s">
        <v>14</v>
      </c>
      <c r="K373" t="s">
        <v>19</v>
      </c>
    </row>
    <row r="374" spans="1:12" hidden="1">
      <c r="A374" s="2" t="s">
        <v>400</v>
      </c>
      <c r="B374" s="8" t="s">
        <v>400</v>
      </c>
      <c r="C374" s="3">
        <v>0</v>
      </c>
      <c r="D374" s="3"/>
      <c r="E374" s="5">
        <v>0</v>
      </c>
      <c r="F374" s="3"/>
      <c r="G374" s="5">
        <v>0</v>
      </c>
      <c r="H374" t="e">
        <f>(C374/D374)*100</f>
        <v>#DIV/0!</v>
      </c>
      <c r="I374" t="s">
        <v>396</v>
      </c>
      <c r="J374" t="s">
        <v>396</v>
      </c>
      <c r="K374" t="s">
        <v>396</v>
      </c>
      <c r="L374" t="s">
        <v>396</v>
      </c>
    </row>
    <row r="375" spans="1:12">
      <c r="A375" s="2" t="s">
        <v>401</v>
      </c>
      <c r="B375" s="2" t="s">
        <v>401</v>
      </c>
      <c r="C375" s="3">
        <v>3</v>
      </c>
      <c r="D375" s="4">
        <v>153</v>
      </c>
      <c r="E375" s="5">
        <v>0</v>
      </c>
      <c r="F375" s="3"/>
      <c r="G375" s="5">
        <v>0.1</v>
      </c>
      <c r="H375">
        <f>(C375/D375)*100</f>
        <v>1.9607843137254901</v>
      </c>
      <c r="I375" t="s">
        <v>117</v>
      </c>
      <c r="J375" t="s">
        <v>118</v>
      </c>
      <c r="K375" t="s">
        <v>15</v>
      </c>
    </row>
    <row r="376" spans="1:12">
      <c r="A376" s="2" t="s">
        <v>402</v>
      </c>
      <c r="B376" s="2" t="s">
        <v>403</v>
      </c>
      <c r="C376" s="3">
        <v>9</v>
      </c>
      <c r="D376" s="4">
        <v>1835</v>
      </c>
      <c r="E376" s="5">
        <v>2.7</v>
      </c>
      <c r="F376" s="5">
        <v>67.599999999999994</v>
      </c>
      <c r="G376" s="5">
        <v>0.2</v>
      </c>
      <c r="H376">
        <f>(C376/D376)*100</f>
        <v>0.49046321525885561</v>
      </c>
      <c r="I376" t="s">
        <v>117</v>
      </c>
      <c r="J376" t="s">
        <v>118</v>
      </c>
      <c r="K376" t="s">
        <v>15</v>
      </c>
    </row>
    <row r="377" spans="1:12">
      <c r="A377" s="2" t="s">
        <v>404</v>
      </c>
      <c r="B377" s="9" t="s">
        <v>404</v>
      </c>
      <c r="C377" s="3">
        <v>0</v>
      </c>
      <c r="D377" s="4">
        <v>103</v>
      </c>
      <c r="E377" s="5">
        <v>0</v>
      </c>
      <c r="F377" s="3"/>
      <c r="G377" s="5">
        <v>0</v>
      </c>
      <c r="H377">
        <f>(C377/D377)*100</f>
        <v>0</v>
      </c>
      <c r="I377" t="s">
        <v>117</v>
      </c>
      <c r="J377" t="s">
        <v>118</v>
      </c>
      <c r="K377" t="s">
        <v>15</v>
      </c>
    </row>
    <row r="378" spans="1:12">
      <c r="A378" s="2" t="s">
        <v>405</v>
      </c>
      <c r="B378" s="2" t="s">
        <v>405</v>
      </c>
      <c r="C378" s="3">
        <v>110</v>
      </c>
      <c r="D378" s="4">
        <v>9365</v>
      </c>
      <c r="E378" s="5">
        <v>6.3</v>
      </c>
      <c r="F378" s="6">
        <v>0</v>
      </c>
      <c r="G378" s="5">
        <v>0.2</v>
      </c>
      <c r="H378">
        <f>(C378/D378)*100</f>
        <v>1.1745862253069941</v>
      </c>
      <c r="I378" t="s">
        <v>13</v>
      </c>
      <c r="J378" t="s">
        <v>14</v>
      </c>
      <c r="K378" t="s">
        <v>19</v>
      </c>
    </row>
    <row r="379" spans="1:12">
      <c r="A379" s="2" t="s">
        <v>406</v>
      </c>
      <c r="B379" s="2" t="s">
        <v>406</v>
      </c>
      <c r="C379" s="3">
        <v>39</v>
      </c>
      <c r="D379" s="4">
        <v>662</v>
      </c>
      <c r="E379" s="5">
        <v>0.8</v>
      </c>
      <c r="F379" s="6">
        <v>0</v>
      </c>
      <c r="G379" s="5">
        <v>0.8</v>
      </c>
      <c r="H379">
        <f>(C379/D379)*100</f>
        <v>5.8912386706948645</v>
      </c>
      <c r="I379" t="s">
        <v>13</v>
      </c>
      <c r="J379" t="s">
        <v>14</v>
      </c>
      <c r="K379" t="s">
        <v>19</v>
      </c>
    </row>
    <row r="380" spans="1:12">
      <c r="A380" s="2" t="s">
        <v>407</v>
      </c>
      <c r="B380" s="2" t="s">
        <v>407</v>
      </c>
      <c r="C380" s="3">
        <v>0</v>
      </c>
      <c r="D380" s="4">
        <v>1623</v>
      </c>
      <c r="E380" s="5">
        <v>0</v>
      </c>
      <c r="F380" s="3"/>
      <c r="G380" s="5">
        <v>0</v>
      </c>
      <c r="H380">
        <f>(C380/D380)*100</f>
        <v>0</v>
      </c>
      <c r="I380" t="s">
        <v>117</v>
      </c>
      <c r="J380" t="s">
        <v>118</v>
      </c>
      <c r="K380" t="s">
        <v>15</v>
      </c>
    </row>
    <row r="381" spans="1:12">
      <c r="A381" s="2" t="s">
        <v>408</v>
      </c>
      <c r="B381" s="2" t="s">
        <v>408</v>
      </c>
      <c r="C381" s="3">
        <v>4</v>
      </c>
      <c r="D381" s="4">
        <v>60</v>
      </c>
      <c r="E381" s="5">
        <v>0</v>
      </c>
      <c r="F381" s="3"/>
      <c r="G381" s="5">
        <v>0.3</v>
      </c>
      <c r="H381">
        <f>(C381/D381)*100</f>
        <v>6.666666666666667</v>
      </c>
      <c r="I381" t="s">
        <v>117</v>
      </c>
      <c r="J381" t="s">
        <v>118</v>
      </c>
      <c r="K381" t="s">
        <v>15</v>
      </c>
    </row>
    <row r="382" spans="1:12">
      <c r="A382" s="2" t="s">
        <v>409</v>
      </c>
      <c r="B382" s="2" t="s">
        <v>409</v>
      </c>
      <c r="C382" s="3">
        <v>11</v>
      </c>
      <c r="D382" s="4">
        <v>376</v>
      </c>
      <c r="E382" s="5">
        <v>0</v>
      </c>
      <c r="F382" s="6">
        <v>0</v>
      </c>
      <c r="G382" s="5">
        <v>0.6</v>
      </c>
      <c r="H382">
        <f>(C382/D382)*100</f>
        <v>2.9255319148936172</v>
      </c>
      <c r="I382" t="s">
        <v>13</v>
      </c>
      <c r="J382" t="s">
        <v>14</v>
      </c>
      <c r="K382" t="s">
        <v>19</v>
      </c>
    </row>
    <row r="383" spans="1:12">
      <c r="A383" s="2" t="s">
        <v>410</v>
      </c>
      <c r="B383" s="2" t="s">
        <v>410</v>
      </c>
      <c r="C383" s="3">
        <v>3</v>
      </c>
      <c r="D383" s="4">
        <v>77</v>
      </c>
      <c r="E383" s="5">
        <v>0</v>
      </c>
      <c r="F383" s="3"/>
      <c r="G383" s="5">
        <v>0.6</v>
      </c>
      <c r="H383">
        <f>(C383/D383)*100</f>
        <v>3.8961038961038961</v>
      </c>
      <c r="I383" t="s">
        <v>117</v>
      </c>
      <c r="J383" t="s">
        <v>118</v>
      </c>
      <c r="K383" t="s">
        <v>15</v>
      </c>
    </row>
    <row r="384" spans="1:12">
      <c r="A384" s="2" t="s">
        <v>411</v>
      </c>
      <c r="B384" s="2" t="s">
        <v>411</v>
      </c>
      <c r="C384" s="3">
        <v>0</v>
      </c>
      <c r="D384" s="4">
        <v>481</v>
      </c>
      <c r="E384" s="5">
        <v>0</v>
      </c>
      <c r="F384" s="3"/>
      <c r="G384" s="5">
        <v>0</v>
      </c>
      <c r="H384">
        <f>(C384/D384)*100</f>
        <v>0</v>
      </c>
      <c r="I384" t="s">
        <v>117</v>
      </c>
      <c r="J384" t="s">
        <v>118</v>
      </c>
      <c r="K384" t="s">
        <v>15</v>
      </c>
    </row>
    <row r="385" spans="1:12" hidden="1">
      <c r="A385" s="2" t="s">
        <v>412</v>
      </c>
      <c r="B385" s="8" t="s">
        <v>412</v>
      </c>
      <c r="C385" s="3">
        <v>0</v>
      </c>
      <c r="D385" s="3"/>
      <c r="E385" s="3"/>
      <c r="F385" s="3"/>
      <c r="G385" s="5">
        <v>0</v>
      </c>
      <c r="H385" t="e">
        <f>(C385/D385)*100</f>
        <v>#DIV/0!</v>
      </c>
      <c r="I385" t="s">
        <v>396</v>
      </c>
      <c r="J385" t="s">
        <v>396</v>
      </c>
      <c r="K385" t="s">
        <v>396</v>
      </c>
      <c r="L385" t="s">
        <v>396</v>
      </c>
    </row>
    <row r="386" spans="1:12">
      <c r="A386" s="2" t="s">
        <v>413</v>
      </c>
      <c r="B386" s="2" t="s">
        <v>413</v>
      </c>
      <c r="C386" s="3">
        <v>68</v>
      </c>
      <c r="D386" s="4">
        <v>1624</v>
      </c>
      <c r="E386" s="5">
        <v>5.2</v>
      </c>
      <c r="F386" s="6">
        <v>0</v>
      </c>
      <c r="G386" s="5">
        <v>1.3</v>
      </c>
      <c r="H386">
        <f>(C386/D386)*100</f>
        <v>4.1871921182266005</v>
      </c>
      <c r="I386" t="s">
        <v>13</v>
      </c>
      <c r="J386" t="s">
        <v>14</v>
      </c>
      <c r="K386" t="s">
        <v>19</v>
      </c>
    </row>
    <row r="387" spans="1:12">
      <c r="A387" s="2" t="s">
        <v>414</v>
      </c>
      <c r="B387" s="2" t="s">
        <v>414</v>
      </c>
      <c r="C387" s="3">
        <v>63</v>
      </c>
      <c r="D387" s="4">
        <v>1129</v>
      </c>
      <c r="E387" s="5">
        <v>3.2</v>
      </c>
      <c r="F387" s="6">
        <v>0</v>
      </c>
      <c r="G387" s="5">
        <v>1.2</v>
      </c>
      <c r="H387">
        <f>(C387/D387)*100</f>
        <v>5.5801594331266609</v>
      </c>
      <c r="I387" t="s">
        <v>13</v>
      </c>
      <c r="J387" t="s">
        <v>14</v>
      </c>
      <c r="K387" t="s">
        <v>19</v>
      </c>
    </row>
    <row r="388" spans="1:12">
      <c r="A388" s="2" t="s">
        <v>415</v>
      </c>
      <c r="B388" s="2" t="s">
        <v>415</v>
      </c>
      <c r="C388" s="3">
        <v>29</v>
      </c>
      <c r="D388" s="4">
        <v>572</v>
      </c>
      <c r="E388" s="5">
        <v>0</v>
      </c>
      <c r="F388" s="6">
        <v>0</v>
      </c>
      <c r="G388" s="5">
        <v>0.5</v>
      </c>
      <c r="H388">
        <f>(C388/D388)*100</f>
        <v>5.06993006993007</v>
      </c>
      <c r="I388" t="s">
        <v>13</v>
      </c>
      <c r="J388" t="s">
        <v>14</v>
      </c>
      <c r="K388" t="s">
        <v>19</v>
      </c>
    </row>
    <row r="389" spans="1:12">
      <c r="A389" s="2" t="s">
        <v>416</v>
      </c>
      <c r="B389" s="2" t="s">
        <v>416</v>
      </c>
      <c r="C389" s="3">
        <v>6</v>
      </c>
      <c r="D389" s="4">
        <v>54</v>
      </c>
      <c r="E389" s="5">
        <v>0</v>
      </c>
      <c r="F389" s="3"/>
      <c r="G389" s="5">
        <v>0.7</v>
      </c>
      <c r="H389">
        <f>(C389/D389)*100</f>
        <v>11.111111111111111</v>
      </c>
      <c r="I389" t="s">
        <v>117</v>
      </c>
      <c r="J389" t="s">
        <v>118</v>
      </c>
      <c r="K389" t="s">
        <v>15</v>
      </c>
    </row>
    <row r="390" spans="1:12">
      <c r="A390" s="2" t="s">
        <v>417</v>
      </c>
      <c r="B390" s="2" t="s">
        <v>417</v>
      </c>
      <c r="C390" s="3">
        <v>0</v>
      </c>
      <c r="D390" s="4">
        <v>25</v>
      </c>
      <c r="E390" s="5">
        <v>0</v>
      </c>
      <c r="F390" s="3"/>
      <c r="G390" s="5">
        <v>0</v>
      </c>
      <c r="H390">
        <f>(C390/D390)*100</f>
        <v>0</v>
      </c>
      <c r="I390" t="s">
        <v>117</v>
      </c>
      <c r="J390" t="s">
        <v>118</v>
      </c>
      <c r="K390" t="s">
        <v>15</v>
      </c>
    </row>
    <row r="391" spans="1:12" hidden="1">
      <c r="A391" s="2" t="s">
        <v>418</v>
      </c>
      <c r="B391" s="8" t="s">
        <v>418</v>
      </c>
      <c r="C391" s="3"/>
      <c r="D391" s="3"/>
      <c r="E391" s="3"/>
      <c r="F391" s="3"/>
      <c r="G391" s="3"/>
      <c r="H391" t="e">
        <f>(C391/D391)*100</f>
        <v>#DIV/0!</v>
      </c>
      <c r="I391" t="s">
        <v>396</v>
      </c>
      <c r="J391" t="s">
        <v>396</v>
      </c>
      <c r="K391" t="s">
        <v>396</v>
      </c>
      <c r="L391" t="s">
        <v>396</v>
      </c>
    </row>
    <row r="392" spans="1:12">
      <c r="A392" s="2" t="s">
        <v>419</v>
      </c>
      <c r="B392" s="2" t="s">
        <v>419</v>
      </c>
      <c r="C392" s="3">
        <v>0</v>
      </c>
      <c r="D392" s="3"/>
      <c r="E392" s="5">
        <v>0</v>
      </c>
      <c r="F392" s="3"/>
      <c r="G392" s="5">
        <v>0</v>
      </c>
      <c r="H392" t="e">
        <f>(C392/D392)*100</f>
        <v>#DIV/0!</v>
      </c>
      <c r="I392" t="s">
        <v>117</v>
      </c>
      <c r="J392" t="s">
        <v>118</v>
      </c>
      <c r="K392" t="s">
        <v>125</v>
      </c>
    </row>
    <row r="393" spans="1:12">
      <c r="A393" s="2" t="s">
        <v>420</v>
      </c>
      <c r="B393" s="2" t="s">
        <v>420</v>
      </c>
      <c r="C393" s="3">
        <v>0</v>
      </c>
      <c r="D393" s="4">
        <v>82</v>
      </c>
      <c r="E393" s="5">
        <v>0</v>
      </c>
      <c r="F393" s="3"/>
      <c r="G393" s="5">
        <v>0</v>
      </c>
      <c r="H393">
        <f>(C393/D393)*100</f>
        <v>0</v>
      </c>
      <c r="I393" t="s">
        <v>117</v>
      </c>
      <c r="J393" t="s">
        <v>118</v>
      </c>
      <c r="K393" t="s">
        <v>15</v>
      </c>
    </row>
    <row r="394" spans="1:12">
      <c r="A394" s="2" t="s">
        <v>421</v>
      </c>
      <c r="B394" s="9" t="s">
        <v>421</v>
      </c>
      <c r="C394" s="3">
        <v>0</v>
      </c>
      <c r="D394" s="4">
        <v>104</v>
      </c>
      <c r="E394" s="5">
        <v>0</v>
      </c>
      <c r="F394" s="3"/>
      <c r="G394" s="5">
        <v>0</v>
      </c>
      <c r="H394">
        <f>(C394/D394)*100</f>
        <v>0</v>
      </c>
      <c r="I394" t="s">
        <v>117</v>
      </c>
      <c r="J394" t="s">
        <v>118</v>
      </c>
      <c r="K394" t="s">
        <v>15</v>
      </c>
    </row>
    <row r="395" spans="1:12">
      <c r="A395" s="2" t="s">
        <v>422</v>
      </c>
      <c r="B395" s="2" t="s">
        <v>422</v>
      </c>
      <c r="C395" s="3">
        <v>0</v>
      </c>
      <c r="D395" s="4">
        <v>38</v>
      </c>
      <c r="E395" s="5">
        <v>0</v>
      </c>
      <c r="F395" s="3"/>
      <c r="G395" s="5">
        <v>0</v>
      </c>
      <c r="H395">
        <f>(C395/D395)*100</f>
        <v>0</v>
      </c>
      <c r="I395" t="s">
        <v>117</v>
      </c>
      <c r="J395" t="s">
        <v>118</v>
      </c>
      <c r="K395" t="s">
        <v>15</v>
      </c>
    </row>
    <row r="396" spans="1:12">
      <c r="A396" s="2" t="s">
        <v>423</v>
      </c>
      <c r="B396" s="2" t="s">
        <v>423</v>
      </c>
      <c r="C396" s="3">
        <v>0</v>
      </c>
      <c r="D396" s="4">
        <v>83</v>
      </c>
      <c r="E396" s="5">
        <v>0</v>
      </c>
      <c r="F396" s="3"/>
      <c r="G396" s="5">
        <v>0</v>
      </c>
      <c r="H396">
        <f>(C396/D396)*100</f>
        <v>0</v>
      </c>
      <c r="I396" t="s">
        <v>117</v>
      </c>
      <c r="J396" t="s">
        <v>118</v>
      </c>
      <c r="K396" t="s">
        <v>15</v>
      </c>
    </row>
    <row r="397" spans="1:12">
      <c r="A397" s="2" t="s">
        <v>424</v>
      </c>
      <c r="B397" s="2" t="s">
        <v>424</v>
      </c>
      <c r="C397" s="3">
        <v>10</v>
      </c>
      <c r="D397" s="4">
        <v>176</v>
      </c>
      <c r="E397" s="5">
        <v>0</v>
      </c>
      <c r="F397" s="6">
        <v>0</v>
      </c>
      <c r="G397" s="5">
        <v>0.9</v>
      </c>
      <c r="H397">
        <f>(C397/D397)*100</f>
        <v>5.6818181818181817</v>
      </c>
      <c r="I397" t="s">
        <v>13</v>
      </c>
      <c r="J397" t="s">
        <v>14</v>
      </c>
      <c r="K397" t="s">
        <v>19</v>
      </c>
    </row>
    <row r="398" spans="1:12" hidden="1">
      <c r="A398" s="2" t="s">
        <v>425</v>
      </c>
      <c r="B398" s="8" t="s">
        <v>425</v>
      </c>
      <c r="C398" s="3">
        <v>0</v>
      </c>
      <c r="D398" s="3"/>
      <c r="E398" s="3"/>
      <c r="F398" s="3"/>
      <c r="G398" s="5">
        <v>0</v>
      </c>
      <c r="H398" t="e">
        <f>(C398/D398)*100</f>
        <v>#DIV/0!</v>
      </c>
      <c r="I398" t="s">
        <v>396</v>
      </c>
      <c r="J398" t="s">
        <v>396</v>
      </c>
      <c r="K398" t="s">
        <v>396</v>
      </c>
      <c r="L398" t="s">
        <v>396</v>
      </c>
    </row>
    <row r="399" spans="1:12">
      <c r="A399" s="2" t="s">
        <v>426</v>
      </c>
      <c r="B399" s="2" t="s">
        <v>426</v>
      </c>
      <c r="C399" s="3">
        <v>7</v>
      </c>
      <c r="D399" s="4">
        <v>229</v>
      </c>
      <c r="E399" s="5">
        <v>0</v>
      </c>
      <c r="F399" s="3"/>
      <c r="G399" s="5">
        <v>0.8</v>
      </c>
      <c r="H399">
        <f>(C399/D399)*100</f>
        <v>3.0567685589519651</v>
      </c>
      <c r="I399" t="s">
        <v>117</v>
      </c>
      <c r="J399" t="s">
        <v>118</v>
      </c>
      <c r="K399" t="s">
        <v>15</v>
      </c>
    </row>
    <row r="400" spans="1:12">
      <c r="A400" s="2" t="s">
        <v>427</v>
      </c>
      <c r="B400" s="2" t="s">
        <v>427</v>
      </c>
      <c r="C400" s="3">
        <v>0</v>
      </c>
      <c r="D400" s="4">
        <v>35</v>
      </c>
      <c r="E400" s="5">
        <v>0</v>
      </c>
      <c r="F400" s="3"/>
      <c r="G400" s="5">
        <v>0</v>
      </c>
      <c r="H400">
        <f>(C400/D400)*100</f>
        <v>0</v>
      </c>
      <c r="I400" t="s">
        <v>117</v>
      </c>
      <c r="J400" t="s">
        <v>118</v>
      </c>
      <c r="K400" t="s">
        <v>15</v>
      </c>
    </row>
    <row r="401" spans="1:12">
      <c r="A401" s="2" t="s">
        <v>428</v>
      </c>
      <c r="B401" s="2" t="s">
        <v>428</v>
      </c>
      <c r="C401" s="3">
        <v>72</v>
      </c>
      <c r="D401" s="4">
        <v>1067</v>
      </c>
      <c r="E401" s="5">
        <v>4</v>
      </c>
      <c r="F401" s="6">
        <v>0</v>
      </c>
      <c r="G401" s="5">
        <v>1.4</v>
      </c>
      <c r="H401">
        <f>(C401/D401)*100</f>
        <v>6.7478912839737584</v>
      </c>
      <c r="I401" t="s">
        <v>13</v>
      </c>
      <c r="J401" t="s">
        <v>14</v>
      </c>
      <c r="K401" t="s">
        <v>19</v>
      </c>
    </row>
    <row r="402" spans="1:12" hidden="1">
      <c r="A402" s="2" t="s">
        <v>429</v>
      </c>
      <c r="B402" s="8" t="s">
        <v>429</v>
      </c>
      <c r="C402" s="3"/>
      <c r="D402" s="3"/>
      <c r="E402" s="3"/>
      <c r="F402" s="3"/>
      <c r="G402" s="3"/>
      <c r="H402" t="e">
        <f>(C402/D402)*100</f>
        <v>#DIV/0!</v>
      </c>
      <c r="I402" t="s">
        <v>396</v>
      </c>
      <c r="J402" t="s">
        <v>396</v>
      </c>
      <c r="K402" t="s">
        <v>396</v>
      </c>
      <c r="L402" t="s">
        <v>396</v>
      </c>
    </row>
    <row r="403" spans="1:12" hidden="1">
      <c r="A403" s="2" t="s">
        <v>430</v>
      </c>
      <c r="B403" s="8" t="s">
        <v>430</v>
      </c>
      <c r="C403" s="3">
        <v>0</v>
      </c>
      <c r="D403" s="3"/>
      <c r="E403" s="3"/>
      <c r="F403" s="3"/>
      <c r="G403" s="5">
        <v>0</v>
      </c>
      <c r="H403" t="e">
        <f>(C403/D403)*100</f>
        <v>#DIV/0!</v>
      </c>
      <c r="I403" t="s">
        <v>396</v>
      </c>
      <c r="J403" t="s">
        <v>396</v>
      </c>
      <c r="K403" t="s">
        <v>396</v>
      </c>
      <c r="L403" t="s">
        <v>396</v>
      </c>
    </row>
    <row r="404" spans="1:12">
      <c r="A404" s="2" t="s">
        <v>431</v>
      </c>
      <c r="B404" s="2" t="s">
        <v>431</v>
      </c>
      <c r="C404" s="3">
        <v>0</v>
      </c>
      <c r="D404" s="4">
        <v>60</v>
      </c>
      <c r="E404" s="5">
        <v>0</v>
      </c>
      <c r="F404" s="3"/>
      <c r="G404" s="5">
        <v>0</v>
      </c>
      <c r="H404">
        <f>(C404/D404)*100</f>
        <v>0</v>
      </c>
      <c r="I404" t="s">
        <v>117</v>
      </c>
      <c r="J404" t="s">
        <v>118</v>
      </c>
      <c r="K404" t="s">
        <v>15</v>
      </c>
    </row>
    <row r="405" spans="1:12">
      <c r="A405" s="2" t="s">
        <v>432</v>
      </c>
      <c r="B405" s="2" t="s">
        <v>432</v>
      </c>
      <c r="C405" s="3"/>
      <c r="D405" s="3"/>
      <c r="E405" s="3"/>
      <c r="F405" s="3"/>
      <c r="G405" s="3"/>
      <c r="H405" t="e">
        <f>(C405/D405)*100</f>
        <v>#DIV/0!</v>
      </c>
      <c r="I405" t="s">
        <v>117</v>
      </c>
      <c r="J405" t="s">
        <v>118</v>
      </c>
      <c r="K405" t="s">
        <v>125</v>
      </c>
    </row>
    <row r="406" spans="1:12">
      <c r="A406" s="2" t="s">
        <v>433</v>
      </c>
      <c r="B406" s="2" t="s">
        <v>433</v>
      </c>
      <c r="C406" s="3">
        <v>193</v>
      </c>
      <c r="D406" s="4">
        <v>6852</v>
      </c>
      <c r="E406" s="5">
        <v>6.3</v>
      </c>
      <c r="F406" s="6">
        <v>0</v>
      </c>
      <c r="G406" s="5">
        <v>0.6</v>
      </c>
      <c r="H406">
        <f>(C406/D406)*100</f>
        <v>2.8166958552247516</v>
      </c>
      <c r="I406" t="s">
        <v>13</v>
      </c>
      <c r="J406" t="s">
        <v>14</v>
      </c>
      <c r="K406" t="s">
        <v>19</v>
      </c>
    </row>
    <row r="407" spans="1:12">
      <c r="A407" s="2" t="s">
        <v>434</v>
      </c>
      <c r="B407" s="2" t="s">
        <v>434</v>
      </c>
      <c r="C407" s="3">
        <v>0</v>
      </c>
      <c r="D407" s="4">
        <v>425</v>
      </c>
      <c r="E407" s="5">
        <v>0</v>
      </c>
      <c r="F407" s="3"/>
      <c r="G407" s="5">
        <v>0</v>
      </c>
      <c r="H407">
        <f>(C407/D407)*100</f>
        <v>0</v>
      </c>
      <c r="I407" t="s">
        <v>117</v>
      </c>
      <c r="J407" t="s">
        <v>118</v>
      </c>
      <c r="K407" t="s">
        <v>15</v>
      </c>
    </row>
    <row r="408" spans="1:12">
      <c r="A408" s="2" t="s">
        <v>435</v>
      </c>
      <c r="B408" s="2" t="s">
        <v>435</v>
      </c>
      <c r="C408" s="3">
        <v>108</v>
      </c>
      <c r="D408" s="4">
        <v>5781</v>
      </c>
      <c r="E408" s="5">
        <v>2.8</v>
      </c>
      <c r="F408" s="6">
        <v>25.8</v>
      </c>
      <c r="G408" s="5">
        <v>0.3</v>
      </c>
      <c r="H408">
        <f>(C408/D408)*100</f>
        <v>1.8681888946549041</v>
      </c>
      <c r="I408" t="s">
        <v>117</v>
      </c>
      <c r="J408" t="s">
        <v>28</v>
      </c>
      <c r="K408" t="s">
        <v>19</v>
      </c>
    </row>
    <row r="409" spans="1:12">
      <c r="A409" s="2" t="s">
        <v>436</v>
      </c>
      <c r="B409" s="2" t="s">
        <v>436</v>
      </c>
      <c r="C409" s="3">
        <v>1</v>
      </c>
      <c r="D409" s="4">
        <v>550</v>
      </c>
      <c r="E409" s="5">
        <v>15</v>
      </c>
      <c r="F409" s="3"/>
      <c r="G409" s="5">
        <v>0</v>
      </c>
      <c r="H409">
        <f>(C409/D409)*100</f>
        <v>0.18181818181818182</v>
      </c>
      <c r="I409" t="s">
        <v>117</v>
      </c>
      <c r="J409" t="s">
        <v>28</v>
      </c>
      <c r="K409" t="s">
        <v>15</v>
      </c>
    </row>
    <row r="410" spans="1:12">
      <c r="A410" s="2" t="s">
        <v>437</v>
      </c>
      <c r="B410" s="2" t="s">
        <v>437</v>
      </c>
      <c r="C410" s="3">
        <v>0</v>
      </c>
      <c r="D410" s="4">
        <v>27</v>
      </c>
      <c r="E410" s="5">
        <v>0</v>
      </c>
      <c r="F410" s="3"/>
      <c r="G410" s="5">
        <v>0</v>
      </c>
      <c r="H410">
        <f>(C410/D410)*100</f>
        <v>0</v>
      </c>
      <c r="I410" t="s">
        <v>117</v>
      </c>
      <c r="J410" t="s">
        <v>118</v>
      </c>
      <c r="K410" t="s">
        <v>15</v>
      </c>
    </row>
    <row r="411" spans="1:12">
      <c r="A411" s="2" t="s">
        <v>438</v>
      </c>
      <c r="B411" s="2" t="s">
        <v>438</v>
      </c>
      <c r="C411" s="3">
        <v>1</v>
      </c>
      <c r="D411" s="4">
        <v>42</v>
      </c>
      <c r="E411" s="5">
        <v>0</v>
      </c>
      <c r="F411" s="3"/>
      <c r="G411" s="5">
        <v>0.4</v>
      </c>
      <c r="H411">
        <f>(C411/D411)*100</f>
        <v>2.3809523809523809</v>
      </c>
      <c r="I411" t="s">
        <v>117</v>
      </c>
      <c r="J411" t="s">
        <v>118</v>
      </c>
      <c r="K411" t="s">
        <v>15</v>
      </c>
    </row>
    <row r="412" spans="1:12">
      <c r="A412" s="2" t="s">
        <v>439</v>
      </c>
      <c r="B412" s="2" t="s">
        <v>439</v>
      </c>
      <c r="C412" s="3">
        <v>292</v>
      </c>
      <c r="D412" s="4">
        <v>5155</v>
      </c>
      <c r="E412" s="5">
        <v>12.8</v>
      </c>
      <c r="F412" s="6">
        <v>0</v>
      </c>
      <c r="G412" s="5">
        <v>1</v>
      </c>
      <c r="H412">
        <f>(C412/D412)*100</f>
        <v>5.6644034917555768</v>
      </c>
      <c r="I412" t="s">
        <v>13</v>
      </c>
      <c r="J412" t="s">
        <v>14</v>
      </c>
      <c r="K412" t="s">
        <v>19</v>
      </c>
    </row>
    <row r="413" spans="1:12">
      <c r="A413" s="2" t="s">
        <v>440</v>
      </c>
      <c r="B413" s="2" t="s">
        <v>440</v>
      </c>
      <c r="C413" s="3">
        <v>0</v>
      </c>
      <c r="D413" s="4">
        <v>76</v>
      </c>
      <c r="E413" s="5">
        <v>0</v>
      </c>
      <c r="F413" s="3"/>
      <c r="G413" s="5">
        <v>0</v>
      </c>
      <c r="H413">
        <f>(C413/D413)*100</f>
        <v>0</v>
      </c>
      <c r="I413" t="s">
        <v>117</v>
      </c>
      <c r="J413" t="s">
        <v>118</v>
      </c>
      <c r="K413" t="s">
        <v>15</v>
      </c>
    </row>
    <row r="414" spans="1:12">
      <c r="A414" s="2" t="s">
        <v>441</v>
      </c>
      <c r="B414" s="2" t="s">
        <v>441</v>
      </c>
      <c r="C414" s="3">
        <v>7</v>
      </c>
      <c r="D414" s="4">
        <v>301</v>
      </c>
      <c r="E414" s="5">
        <v>0</v>
      </c>
      <c r="F414" s="6">
        <v>0</v>
      </c>
      <c r="G414" s="5">
        <v>0.3</v>
      </c>
      <c r="H414">
        <f>(C414/D414)*100</f>
        <v>2.3255813953488373</v>
      </c>
      <c r="I414" t="s">
        <v>13</v>
      </c>
      <c r="J414" t="s">
        <v>14</v>
      </c>
      <c r="K414" t="s">
        <v>19</v>
      </c>
    </row>
    <row r="415" spans="1:12">
      <c r="A415" s="2" t="s">
        <v>442</v>
      </c>
      <c r="B415" s="2" t="s">
        <v>442</v>
      </c>
      <c r="C415" s="3">
        <v>0</v>
      </c>
      <c r="D415" s="4">
        <v>13541</v>
      </c>
      <c r="E415" s="5">
        <v>0.6</v>
      </c>
      <c r="F415" s="5">
        <v>76.5</v>
      </c>
      <c r="G415" s="5">
        <v>0</v>
      </c>
      <c r="H415">
        <f>(C415/D415)*100</f>
        <v>0</v>
      </c>
      <c r="I415" t="s">
        <v>117</v>
      </c>
      <c r="J415" t="s">
        <v>118</v>
      </c>
      <c r="K415" t="s">
        <v>15</v>
      </c>
    </row>
    <row r="416" spans="1:12">
      <c r="A416" s="2" t="s">
        <v>443</v>
      </c>
      <c r="B416" s="2" t="s">
        <v>444</v>
      </c>
      <c r="C416" s="3">
        <v>227</v>
      </c>
      <c r="D416" s="4">
        <v>6085</v>
      </c>
      <c r="E416" s="5">
        <v>7.2</v>
      </c>
      <c r="F416" s="5">
        <v>65.7</v>
      </c>
      <c r="G416" s="5">
        <v>0.4</v>
      </c>
      <c r="H416">
        <f>(C416/D416)*100</f>
        <v>3.7304847986852914</v>
      </c>
      <c r="I416" t="s">
        <v>117</v>
      </c>
      <c r="J416" t="s">
        <v>28</v>
      </c>
      <c r="K416" t="s">
        <v>15</v>
      </c>
    </row>
    <row r="417" spans="1:12" hidden="1">
      <c r="A417" s="2" t="s">
        <v>445</v>
      </c>
      <c r="B417" s="8" t="s">
        <v>445</v>
      </c>
      <c r="C417" s="3">
        <v>0</v>
      </c>
      <c r="D417" s="3"/>
      <c r="E417" s="3"/>
      <c r="F417" s="3"/>
      <c r="G417" s="5">
        <v>0</v>
      </c>
      <c r="H417" t="e">
        <f>(C417/D417)*100</f>
        <v>#DIV/0!</v>
      </c>
      <c r="I417" t="s">
        <v>396</v>
      </c>
      <c r="J417" t="s">
        <v>396</v>
      </c>
      <c r="K417" t="s">
        <v>396</v>
      </c>
      <c r="L417" t="s">
        <v>396</v>
      </c>
    </row>
    <row r="418" spans="1:12" hidden="1">
      <c r="A418" s="2" t="s">
        <v>446</v>
      </c>
      <c r="B418" s="8" t="s">
        <v>446</v>
      </c>
      <c r="C418" s="3"/>
      <c r="D418" s="3"/>
      <c r="E418" s="3"/>
      <c r="F418" s="3"/>
      <c r="G418" s="3"/>
      <c r="H418" t="e">
        <f>(C418/D418)*100</f>
        <v>#DIV/0!</v>
      </c>
      <c r="I418" t="s">
        <v>396</v>
      </c>
      <c r="J418" t="s">
        <v>396</v>
      </c>
      <c r="K418" t="s">
        <v>396</v>
      </c>
      <c r="L418" t="s">
        <v>396</v>
      </c>
    </row>
    <row r="419" spans="1:12">
      <c r="A419" s="2" t="s">
        <v>447</v>
      </c>
      <c r="B419" s="2" t="s">
        <v>447</v>
      </c>
      <c r="C419" s="3">
        <v>82</v>
      </c>
      <c r="D419" s="4">
        <v>1303</v>
      </c>
      <c r="E419" s="5">
        <v>2.2000000000000002</v>
      </c>
      <c r="F419" s="6">
        <v>0.1</v>
      </c>
      <c r="G419" s="5">
        <v>1.4</v>
      </c>
      <c r="H419">
        <f>(C419/D419)*100</f>
        <v>6.2931696085955489</v>
      </c>
      <c r="I419" t="s">
        <v>13</v>
      </c>
      <c r="J419" t="s">
        <v>14</v>
      </c>
      <c r="K419" t="s">
        <v>19</v>
      </c>
    </row>
    <row r="420" spans="1:12">
      <c r="A420" s="2" t="s">
        <v>448</v>
      </c>
      <c r="B420" s="2" t="s">
        <v>448</v>
      </c>
      <c r="C420" s="3">
        <v>77</v>
      </c>
      <c r="D420" s="4">
        <v>2148</v>
      </c>
      <c r="E420" s="5">
        <v>2.2999999999999998</v>
      </c>
      <c r="F420" s="5">
        <v>57.1</v>
      </c>
      <c r="G420" s="5">
        <v>0.4</v>
      </c>
      <c r="H420">
        <f>(C420/D420)*100</f>
        <v>3.5847299813780258</v>
      </c>
      <c r="I420" t="s">
        <v>117</v>
      </c>
      <c r="J420" t="s">
        <v>118</v>
      </c>
      <c r="K420" t="s">
        <v>15</v>
      </c>
    </row>
    <row r="421" spans="1:12">
      <c r="A421" s="2" t="s">
        <v>449</v>
      </c>
      <c r="B421" s="2" t="s">
        <v>449</v>
      </c>
      <c r="C421" s="3">
        <v>42</v>
      </c>
      <c r="D421" s="4">
        <v>688</v>
      </c>
      <c r="E421" s="5">
        <v>0</v>
      </c>
      <c r="F421" s="6">
        <v>0</v>
      </c>
      <c r="G421" s="5">
        <v>1.3</v>
      </c>
      <c r="H421">
        <f>(C421/D421)*100</f>
        <v>6.104651162790697</v>
      </c>
      <c r="I421" t="s">
        <v>13</v>
      </c>
      <c r="J421" t="s">
        <v>14</v>
      </c>
      <c r="K421" t="s">
        <v>19</v>
      </c>
    </row>
    <row r="422" spans="1:12">
      <c r="A422" s="2" t="s">
        <v>450</v>
      </c>
      <c r="B422" s="2" t="s">
        <v>450</v>
      </c>
      <c r="C422" s="3">
        <v>20</v>
      </c>
      <c r="D422" s="4">
        <v>1290</v>
      </c>
      <c r="E422" s="5">
        <v>0</v>
      </c>
      <c r="F422" s="5">
        <v>56.7</v>
      </c>
      <c r="G422" s="5">
        <v>0.2</v>
      </c>
      <c r="H422">
        <f>(C422/D422)*100</f>
        <v>1.5503875968992249</v>
      </c>
      <c r="I422" t="s">
        <v>117</v>
      </c>
      <c r="J422" t="s">
        <v>118</v>
      </c>
      <c r="K422" t="s">
        <v>15</v>
      </c>
    </row>
    <row r="423" spans="1:12" hidden="1">
      <c r="A423" s="2" t="s">
        <v>451</v>
      </c>
      <c r="B423" s="8" t="s">
        <v>451</v>
      </c>
      <c r="C423" s="3">
        <v>0</v>
      </c>
      <c r="D423" s="3"/>
      <c r="E423" s="5">
        <v>0</v>
      </c>
      <c r="F423" s="3"/>
      <c r="G423" s="5">
        <v>0</v>
      </c>
      <c r="H423" t="e">
        <f>(C423/D423)*100</f>
        <v>#DIV/0!</v>
      </c>
      <c r="I423" t="s">
        <v>396</v>
      </c>
      <c r="J423" t="s">
        <v>396</v>
      </c>
      <c r="K423" t="s">
        <v>396</v>
      </c>
      <c r="L423" t="s">
        <v>396</v>
      </c>
    </row>
    <row r="424" spans="1:12">
      <c r="A424" s="2" t="s">
        <v>452</v>
      </c>
      <c r="B424" s="2" t="s">
        <v>452</v>
      </c>
      <c r="C424" s="3">
        <v>3</v>
      </c>
      <c r="D424" s="4">
        <v>445</v>
      </c>
      <c r="E424" s="5">
        <v>9.6</v>
      </c>
      <c r="F424" s="6">
        <v>0</v>
      </c>
      <c r="G424" s="5">
        <v>0.1</v>
      </c>
      <c r="H424">
        <f>(C424/D424)*100</f>
        <v>0.6741573033707865</v>
      </c>
      <c r="I424" t="s">
        <v>13</v>
      </c>
      <c r="J424" t="s">
        <v>14</v>
      </c>
      <c r="K424" t="s">
        <v>19</v>
      </c>
    </row>
    <row r="425" spans="1:12" hidden="1">
      <c r="A425" s="2" t="s">
        <v>453</v>
      </c>
      <c r="B425" s="8" t="s">
        <v>453</v>
      </c>
      <c r="C425" s="3">
        <v>0</v>
      </c>
      <c r="D425" s="3"/>
      <c r="E425" s="5">
        <v>0</v>
      </c>
      <c r="F425" s="3"/>
      <c r="G425" s="5">
        <v>0</v>
      </c>
      <c r="H425" t="e">
        <f>(C425/D425)*100</f>
        <v>#DIV/0!</v>
      </c>
      <c r="I425" t="s">
        <v>396</v>
      </c>
      <c r="J425" t="s">
        <v>396</v>
      </c>
      <c r="K425" t="s">
        <v>396</v>
      </c>
      <c r="L425" t="s">
        <v>396</v>
      </c>
    </row>
    <row r="426" spans="1:12">
      <c r="A426" s="2" t="s">
        <v>454</v>
      </c>
      <c r="B426" s="2" t="s">
        <v>454</v>
      </c>
      <c r="C426" s="3">
        <v>2</v>
      </c>
      <c r="D426" s="4">
        <v>1309</v>
      </c>
      <c r="E426" s="5">
        <v>18.7</v>
      </c>
      <c r="F426" s="3"/>
      <c r="G426" s="5">
        <v>0</v>
      </c>
      <c r="H426">
        <f>(C426/D426)*100</f>
        <v>0.15278838808250572</v>
      </c>
      <c r="I426" t="s">
        <v>117</v>
      </c>
      <c r="J426" t="s">
        <v>28</v>
      </c>
      <c r="K426" t="s">
        <v>15</v>
      </c>
    </row>
    <row r="427" spans="1:12">
      <c r="A427" s="2" t="s">
        <v>455</v>
      </c>
      <c r="B427" s="2" t="s">
        <v>455</v>
      </c>
      <c r="C427" s="3">
        <v>261</v>
      </c>
      <c r="D427" s="4">
        <v>3146</v>
      </c>
      <c r="E427" s="5">
        <v>11.3</v>
      </c>
      <c r="F427" s="6">
        <v>2.5</v>
      </c>
      <c r="G427" s="5">
        <v>1.6</v>
      </c>
      <c r="H427">
        <f>(C427/D427)*100</f>
        <v>8.2962492053401142</v>
      </c>
      <c r="I427" t="s">
        <v>13</v>
      </c>
      <c r="J427" t="s">
        <v>14</v>
      </c>
      <c r="K427" t="s">
        <v>19</v>
      </c>
    </row>
    <row r="428" spans="1:12">
      <c r="A428" s="2" t="s">
        <v>456</v>
      </c>
      <c r="B428" s="2" t="s">
        <v>457</v>
      </c>
      <c r="C428" s="3">
        <v>14</v>
      </c>
      <c r="D428" s="4">
        <v>1368</v>
      </c>
      <c r="E428" s="5">
        <v>0</v>
      </c>
      <c r="F428" s="5">
        <v>70.8</v>
      </c>
      <c r="G428" s="5">
        <v>0.1</v>
      </c>
      <c r="H428">
        <f>(C428/D428)*100</f>
        <v>1.0233918128654971</v>
      </c>
      <c r="I428" t="s">
        <v>117</v>
      </c>
      <c r="J428" t="s">
        <v>118</v>
      </c>
      <c r="K428" t="s">
        <v>15</v>
      </c>
    </row>
    <row r="429" spans="1:12" hidden="1">
      <c r="A429" s="2" t="s">
        <v>458</v>
      </c>
      <c r="B429" s="8" t="s">
        <v>458</v>
      </c>
      <c r="C429" s="3">
        <v>0</v>
      </c>
      <c r="D429" s="3"/>
      <c r="E429" s="5">
        <v>0</v>
      </c>
      <c r="F429" s="3"/>
      <c r="G429" s="5">
        <v>0</v>
      </c>
      <c r="H429" t="e">
        <f t="shared" ref="H387:H430" si="2">(C429/D429)*100</f>
        <v>#DIV/0!</v>
      </c>
      <c r="I429" t="s">
        <v>396</v>
      </c>
      <c r="J429" t="s">
        <v>396</v>
      </c>
      <c r="K429" t="s">
        <v>396</v>
      </c>
      <c r="L429" t="s">
        <v>396</v>
      </c>
    </row>
    <row r="430" spans="1:12" hidden="1">
      <c r="A430" s="2" t="s">
        <v>459</v>
      </c>
      <c r="B430" s="8" t="s">
        <v>459</v>
      </c>
      <c r="C430" s="3">
        <v>0</v>
      </c>
      <c r="D430" s="3"/>
      <c r="E430" s="5">
        <v>0</v>
      </c>
      <c r="F430" s="3"/>
      <c r="G430" s="5">
        <v>0</v>
      </c>
      <c r="H430" t="e">
        <f t="shared" si="2"/>
        <v>#DIV/0!</v>
      </c>
      <c r="I430" t="s">
        <v>396</v>
      </c>
      <c r="J430" t="s">
        <v>396</v>
      </c>
      <c r="K430" t="s">
        <v>396</v>
      </c>
      <c r="L430" t="s">
        <v>396</v>
      </c>
    </row>
  </sheetData>
  <autoFilter ref="A1:L430" xr:uid="{00000000-0001-0000-0000-000000000000}">
    <filterColumn colId="8">
      <filters>
        <filter val="Codigo Nuevo"/>
        <filter val="Estandar"/>
        <filter val="Flexible"/>
      </filters>
    </filterColumn>
    <sortState xmlns:xlrd2="http://schemas.microsoft.com/office/spreadsheetml/2017/richdata2" ref="A2:L430">
      <sortCondition ref="I1:I430"/>
    </sortState>
  </autoFilter>
  <sortState xmlns:xlrd2="http://schemas.microsoft.com/office/spreadsheetml/2017/richdata2" ref="A98:H433">
    <sortCondition ref="B1:B43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06A0-1BC8-4CBE-B5FC-6798090B0EF5}">
  <dimension ref="B1:B190"/>
  <sheetViews>
    <sheetView workbookViewId="0">
      <selection activeCell="B190" sqref="B190"/>
    </sheetView>
  </sheetViews>
  <sheetFormatPr defaultRowHeight="15"/>
  <cols>
    <col min="2" max="2" width="72.28515625" customWidth="1"/>
  </cols>
  <sheetData>
    <row r="1" spans="2:2">
      <c r="B1" s="2" t="s">
        <v>12</v>
      </c>
    </row>
    <row r="2" spans="2:2">
      <c r="B2" s="2" t="s">
        <v>16</v>
      </c>
    </row>
    <row r="3" spans="2:2">
      <c r="B3" s="2" t="s">
        <v>17</v>
      </c>
    </row>
    <row r="4" spans="2:2">
      <c r="B4" s="2" t="s">
        <v>18</v>
      </c>
    </row>
    <row r="5" spans="2:2">
      <c r="B5" s="2" t="s">
        <v>20</v>
      </c>
    </row>
    <row r="6" spans="2:2">
      <c r="B6" s="2" t="s">
        <v>21</v>
      </c>
    </row>
    <row r="7" spans="2:2">
      <c r="B7" s="2" t="s">
        <v>22</v>
      </c>
    </row>
    <row r="8" spans="2:2">
      <c r="B8" s="2" t="s">
        <v>23</v>
      </c>
    </row>
    <row r="9" spans="2:2">
      <c r="B9" s="2" t="s">
        <v>24</v>
      </c>
    </row>
    <row r="10" spans="2:2">
      <c r="B10" s="2" t="s">
        <v>25</v>
      </c>
    </row>
    <row r="11" spans="2:2">
      <c r="B11" s="2" t="s">
        <v>29</v>
      </c>
    </row>
    <row r="12" spans="2:2">
      <c r="B12" s="2" t="s">
        <v>30</v>
      </c>
    </row>
    <row r="13" spans="2:2">
      <c r="B13" s="2" t="s">
        <v>31</v>
      </c>
    </row>
    <row r="14" spans="2:2">
      <c r="B14" s="2" t="s">
        <v>33</v>
      </c>
    </row>
    <row r="15" spans="2:2">
      <c r="B15" s="2" t="s">
        <v>35</v>
      </c>
    </row>
    <row r="16" spans="2:2">
      <c r="B16" s="2" t="s">
        <v>36</v>
      </c>
    </row>
    <row r="17" spans="2:2">
      <c r="B17" s="2" t="s">
        <v>37</v>
      </c>
    </row>
    <row r="18" spans="2:2">
      <c r="B18" s="2" t="s">
        <v>39</v>
      </c>
    </row>
    <row r="19" spans="2:2">
      <c r="B19" s="2" t="s">
        <v>40</v>
      </c>
    </row>
    <row r="20" spans="2:2">
      <c r="B20" s="2" t="s">
        <v>41</v>
      </c>
    </row>
    <row r="21" spans="2:2">
      <c r="B21" s="2" t="s">
        <v>42</v>
      </c>
    </row>
    <row r="22" spans="2:2">
      <c r="B22" s="2" t="s">
        <v>44</v>
      </c>
    </row>
    <row r="23" spans="2:2">
      <c r="B23" s="2" t="s">
        <v>45</v>
      </c>
    </row>
    <row r="24" spans="2:2">
      <c r="B24" s="2" t="s">
        <v>46</v>
      </c>
    </row>
    <row r="25" spans="2:2">
      <c r="B25" s="2" t="s">
        <v>47</v>
      </c>
    </row>
    <row r="26" spans="2:2">
      <c r="B26" s="2" t="s">
        <v>48</v>
      </c>
    </row>
    <row r="27" spans="2:2">
      <c r="B27" s="2" t="s">
        <v>53</v>
      </c>
    </row>
    <row r="28" spans="2:2">
      <c r="B28" s="2" t="s">
        <v>54</v>
      </c>
    </row>
    <row r="29" spans="2:2">
      <c r="B29" s="2" t="s">
        <v>57</v>
      </c>
    </row>
    <row r="30" spans="2:2">
      <c r="B30" s="2" t="s">
        <v>58</v>
      </c>
    </row>
    <row r="31" spans="2:2">
      <c r="B31" s="2" t="s">
        <v>59</v>
      </c>
    </row>
    <row r="32" spans="2:2">
      <c r="B32" s="2" t="s">
        <v>60</v>
      </c>
    </row>
    <row r="33" spans="2:2">
      <c r="B33" s="2" t="s">
        <v>61</v>
      </c>
    </row>
    <row r="34" spans="2:2">
      <c r="B34" s="2" t="s">
        <v>62</v>
      </c>
    </row>
    <row r="35" spans="2:2">
      <c r="B35" s="2" t="s">
        <v>64</v>
      </c>
    </row>
    <row r="36" spans="2:2">
      <c r="B36" s="2" t="s">
        <v>65</v>
      </c>
    </row>
    <row r="37" spans="2:2">
      <c r="B37" s="2" t="s">
        <v>66</v>
      </c>
    </row>
    <row r="38" spans="2:2">
      <c r="B38" s="2" t="s">
        <v>67</v>
      </c>
    </row>
    <row r="39" spans="2:2">
      <c r="B39" s="2" t="s">
        <v>68</v>
      </c>
    </row>
    <row r="40" spans="2:2">
      <c r="B40" s="2" t="s">
        <v>69</v>
      </c>
    </row>
    <row r="41" spans="2:2">
      <c r="B41" s="2" t="s">
        <v>71</v>
      </c>
    </row>
    <row r="42" spans="2:2">
      <c r="B42" s="2" t="s">
        <v>72</v>
      </c>
    </row>
    <row r="43" spans="2:2">
      <c r="B43" s="2" t="s">
        <v>73</v>
      </c>
    </row>
    <row r="44" spans="2:2">
      <c r="B44" s="2" t="s">
        <v>74</v>
      </c>
    </row>
    <row r="45" spans="2:2">
      <c r="B45" s="2" t="s">
        <v>75</v>
      </c>
    </row>
    <row r="46" spans="2:2">
      <c r="B46" s="2" t="s">
        <v>76</v>
      </c>
    </row>
    <row r="47" spans="2:2">
      <c r="B47" s="2" t="s">
        <v>77</v>
      </c>
    </row>
    <row r="48" spans="2:2">
      <c r="B48" s="2" t="s">
        <v>78</v>
      </c>
    </row>
    <row r="49" spans="2:2">
      <c r="B49" s="2" t="s">
        <v>79</v>
      </c>
    </row>
    <row r="50" spans="2:2">
      <c r="B50" s="2" t="s">
        <v>80</v>
      </c>
    </row>
    <row r="51" spans="2:2">
      <c r="B51" s="2" t="s">
        <v>81</v>
      </c>
    </row>
    <row r="52" spans="2:2">
      <c r="B52" s="2" t="s">
        <v>82</v>
      </c>
    </row>
    <row r="53" spans="2:2">
      <c r="B53" s="2" t="s">
        <v>83</v>
      </c>
    </row>
    <row r="54" spans="2:2">
      <c r="B54" s="2" t="s">
        <v>85</v>
      </c>
    </row>
    <row r="55" spans="2:2">
      <c r="B55" s="2" t="s">
        <v>87</v>
      </c>
    </row>
    <row r="56" spans="2:2">
      <c r="B56" s="2" t="s">
        <v>88</v>
      </c>
    </row>
    <row r="57" spans="2:2">
      <c r="B57" s="2" t="s">
        <v>89</v>
      </c>
    </row>
    <row r="58" spans="2:2">
      <c r="B58" s="2" t="s">
        <v>90</v>
      </c>
    </row>
    <row r="59" spans="2:2">
      <c r="B59" s="2" t="s">
        <v>91</v>
      </c>
    </row>
    <row r="60" spans="2:2">
      <c r="B60" s="2" t="s">
        <v>92</v>
      </c>
    </row>
    <row r="61" spans="2:2">
      <c r="B61" s="2" t="s">
        <v>93</v>
      </c>
    </row>
    <row r="62" spans="2:2">
      <c r="B62" s="2" t="s">
        <v>95</v>
      </c>
    </row>
    <row r="63" spans="2:2">
      <c r="B63" s="2" t="s">
        <v>96</v>
      </c>
    </row>
    <row r="64" spans="2:2">
      <c r="B64" s="2" t="s">
        <v>97</v>
      </c>
    </row>
    <row r="65" spans="2:2">
      <c r="B65" s="2" t="s">
        <v>98</v>
      </c>
    </row>
    <row r="66" spans="2:2">
      <c r="B66" s="2" t="s">
        <v>99</v>
      </c>
    </row>
    <row r="67" spans="2:2">
      <c r="B67" s="2" t="s">
        <v>100</v>
      </c>
    </row>
    <row r="68" spans="2:2">
      <c r="B68" s="2" t="s">
        <v>101</v>
      </c>
    </row>
    <row r="69" spans="2:2">
      <c r="B69" s="2" t="s">
        <v>102</v>
      </c>
    </row>
    <row r="70" spans="2:2">
      <c r="B70" s="2" t="s">
        <v>103</v>
      </c>
    </row>
    <row r="71" spans="2:2">
      <c r="B71" s="2" t="s">
        <v>104</v>
      </c>
    </row>
    <row r="72" spans="2:2">
      <c r="B72" s="2" t="s">
        <v>105</v>
      </c>
    </row>
    <row r="73" spans="2:2">
      <c r="B73" s="2" t="s">
        <v>106</v>
      </c>
    </row>
    <row r="74" spans="2:2">
      <c r="B74" s="2" t="s">
        <v>107</v>
      </c>
    </row>
    <row r="75" spans="2:2">
      <c r="B75" s="2" t="s">
        <v>108</v>
      </c>
    </row>
    <row r="76" spans="2:2">
      <c r="B76" s="2" t="s">
        <v>109</v>
      </c>
    </row>
    <row r="77" spans="2:2">
      <c r="B77" s="2" t="s">
        <v>110</v>
      </c>
    </row>
    <row r="78" spans="2:2">
      <c r="B78" s="2" t="s">
        <v>111</v>
      </c>
    </row>
    <row r="79" spans="2:2">
      <c r="B79" s="2" t="s">
        <v>112</v>
      </c>
    </row>
    <row r="80" spans="2:2">
      <c r="B80" s="2" t="s">
        <v>113</v>
      </c>
    </row>
    <row r="81" spans="2:2">
      <c r="B81" s="2" t="s">
        <v>114</v>
      </c>
    </row>
    <row r="82" spans="2:2">
      <c r="B82" s="2" t="s">
        <v>115</v>
      </c>
    </row>
    <row r="83" spans="2:2">
      <c r="B83" s="2" t="s">
        <v>121</v>
      </c>
    </row>
    <row r="84" spans="2:2">
      <c r="B84" s="2" t="s">
        <v>127</v>
      </c>
    </row>
    <row r="85" spans="2:2">
      <c r="B85" s="2" t="s">
        <v>129</v>
      </c>
    </row>
    <row r="86" spans="2:2">
      <c r="B86" s="2" t="s">
        <v>130</v>
      </c>
    </row>
    <row r="87" spans="2:2">
      <c r="B87" s="2" t="s">
        <v>131</v>
      </c>
    </row>
    <row r="88" spans="2:2">
      <c r="B88" s="2" t="s">
        <v>132</v>
      </c>
    </row>
    <row r="89" spans="2:2">
      <c r="B89" s="2" t="s">
        <v>133</v>
      </c>
    </row>
    <row r="90" spans="2:2">
      <c r="B90" s="2" t="s">
        <v>134</v>
      </c>
    </row>
    <row r="91" spans="2:2">
      <c r="B91" s="2" t="s">
        <v>137</v>
      </c>
    </row>
    <row r="92" spans="2:2">
      <c r="B92" s="2" t="s">
        <v>138</v>
      </c>
    </row>
    <row r="93" spans="2:2">
      <c r="B93" s="2" t="s">
        <v>141</v>
      </c>
    </row>
    <row r="94" spans="2:2">
      <c r="B94" s="2" t="s">
        <v>145</v>
      </c>
    </row>
    <row r="95" spans="2:2">
      <c r="B95" s="2" t="s">
        <v>146</v>
      </c>
    </row>
    <row r="96" spans="2:2">
      <c r="B96" s="2" t="s">
        <v>150</v>
      </c>
    </row>
    <row r="97" spans="2:2">
      <c r="B97" s="2" t="s">
        <v>162</v>
      </c>
    </row>
    <row r="98" spans="2:2">
      <c r="B98" s="2" t="s">
        <v>166</v>
      </c>
    </row>
    <row r="99" spans="2:2">
      <c r="B99" s="2" t="s">
        <v>170</v>
      </c>
    </row>
    <row r="100" spans="2:2">
      <c r="B100" s="2" t="s">
        <v>172</v>
      </c>
    </row>
    <row r="101" spans="2:2">
      <c r="B101" s="2" t="s">
        <v>173</v>
      </c>
    </row>
    <row r="102" spans="2:2">
      <c r="B102" s="2" t="s">
        <v>174</v>
      </c>
    </row>
    <row r="103" spans="2:2">
      <c r="B103" s="2" t="s">
        <v>175</v>
      </c>
    </row>
    <row r="104" spans="2:2">
      <c r="B104" s="2" t="s">
        <v>182</v>
      </c>
    </row>
    <row r="105" spans="2:2">
      <c r="B105" s="2" t="s">
        <v>183</v>
      </c>
    </row>
    <row r="106" spans="2:2">
      <c r="B106" s="2" t="s">
        <v>186</v>
      </c>
    </row>
    <row r="107" spans="2:2">
      <c r="B107" s="2" t="s">
        <v>188</v>
      </c>
    </row>
    <row r="108" spans="2:2">
      <c r="B108" s="2" t="s">
        <v>192</v>
      </c>
    </row>
    <row r="109" spans="2:2">
      <c r="B109" s="2" t="s">
        <v>196</v>
      </c>
    </row>
    <row r="110" spans="2:2">
      <c r="B110" s="2" t="s">
        <v>199</v>
      </c>
    </row>
    <row r="111" spans="2:2">
      <c r="B111" s="2" t="s">
        <v>200</v>
      </c>
    </row>
    <row r="112" spans="2:2">
      <c r="B112" s="2" t="s">
        <v>204</v>
      </c>
    </row>
    <row r="113" spans="2:2">
      <c r="B113" s="2" t="s">
        <v>216</v>
      </c>
    </row>
    <row r="114" spans="2:2">
      <c r="B114" s="2" t="s">
        <v>218</v>
      </c>
    </row>
    <row r="115" spans="2:2">
      <c r="B115" s="2" t="s">
        <v>219</v>
      </c>
    </row>
    <row r="116" spans="2:2">
      <c r="B116" s="2" t="s">
        <v>220</v>
      </c>
    </row>
    <row r="117" spans="2:2">
      <c r="B117" s="2" t="s">
        <v>228</v>
      </c>
    </row>
    <row r="118" spans="2:2">
      <c r="B118" s="2" t="s">
        <v>233</v>
      </c>
    </row>
    <row r="119" spans="2:2">
      <c r="B119" s="2" t="s">
        <v>234</v>
      </c>
    </row>
    <row r="120" spans="2:2">
      <c r="B120" s="2" t="s">
        <v>236</v>
      </c>
    </row>
    <row r="121" spans="2:2">
      <c r="B121" s="2" t="s">
        <v>237</v>
      </c>
    </row>
    <row r="122" spans="2:2">
      <c r="B122" s="2" t="s">
        <v>241</v>
      </c>
    </row>
    <row r="123" spans="2:2">
      <c r="B123" s="2" t="s">
        <v>242</v>
      </c>
    </row>
    <row r="124" spans="2:2">
      <c r="B124" s="2" t="s">
        <v>244</v>
      </c>
    </row>
    <row r="125" spans="2:2">
      <c r="B125" s="2" t="s">
        <v>248</v>
      </c>
    </row>
    <row r="126" spans="2:2">
      <c r="B126" s="2" t="s">
        <v>249</v>
      </c>
    </row>
    <row r="127" spans="2:2">
      <c r="B127" s="2" t="s">
        <v>253</v>
      </c>
    </row>
    <row r="128" spans="2:2">
      <c r="B128" s="2" t="s">
        <v>255</v>
      </c>
    </row>
    <row r="129" spans="2:2">
      <c r="B129" s="2" t="s">
        <v>257</v>
      </c>
    </row>
    <row r="130" spans="2:2">
      <c r="B130" s="2" t="s">
        <v>261</v>
      </c>
    </row>
    <row r="131" spans="2:2">
      <c r="B131" s="2" t="s">
        <v>264</v>
      </c>
    </row>
    <row r="132" spans="2:2">
      <c r="B132" s="2" t="s">
        <v>265</v>
      </c>
    </row>
    <row r="133" spans="2:2">
      <c r="B133" s="2" t="s">
        <v>266</v>
      </c>
    </row>
    <row r="134" spans="2:2">
      <c r="B134" s="2" t="s">
        <v>267</v>
      </c>
    </row>
    <row r="135" spans="2:2">
      <c r="B135" s="2" t="s">
        <v>277</v>
      </c>
    </row>
    <row r="136" spans="2:2">
      <c r="B136" s="2" t="s">
        <v>281</v>
      </c>
    </row>
    <row r="137" spans="2:2">
      <c r="B137" s="2" t="s">
        <v>283</v>
      </c>
    </row>
    <row r="138" spans="2:2">
      <c r="B138" s="2" t="s">
        <v>285</v>
      </c>
    </row>
    <row r="139" spans="2:2">
      <c r="B139" s="2" t="s">
        <v>288</v>
      </c>
    </row>
    <row r="140" spans="2:2">
      <c r="B140" s="2" t="s">
        <v>290</v>
      </c>
    </row>
    <row r="141" spans="2:2">
      <c r="B141" s="2" t="s">
        <v>295</v>
      </c>
    </row>
    <row r="142" spans="2:2">
      <c r="B142" s="2" t="s">
        <v>299</v>
      </c>
    </row>
    <row r="143" spans="2:2">
      <c r="B143" s="2" t="s">
        <v>300</v>
      </c>
    </row>
    <row r="144" spans="2:2">
      <c r="B144" s="2" t="s">
        <v>303</v>
      </c>
    </row>
    <row r="145" spans="2:2">
      <c r="B145" s="2" t="s">
        <v>304</v>
      </c>
    </row>
    <row r="146" spans="2:2">
      <c r="B146" s="2" t="s">
        <v>309</v>
      </c>
    </row>
    <row r="147" spans="2:2">
      <c r="B147" s="2" t="s">
        <v>310</v>
      </c>
    </row>
    <row r="148" spans="2:2">
      <c r="B148" s="2" t="s">
        <v>313</v>
      </c>
    </row>
    <row r="149" spans="2:2">
      <c r="B149" s="2" t="s">
        <v>314</v>
      </c>
    </row>
    <row r="150" spans="2:2">
      <c r="B150" s="2" t="s">
        <v>316</v>
      </c>
    </row>
    <row r="151" spans="2:2">
      <c r="B151" s="2" t="s">
        <v>322</v>
      </c>
    </row>
    <row r="152" spans="2:2">
      <c r="B152" s="2" t="s">
        <v>324</v>
      </c>
    </row>
    <row r="153" spans="2:2">
      <c r="B153" s="2" t="s">
        <v>327</v>
      </c>
    </row>
    <row r="154" spans="2:2">
      <c r="B154" s="2" t="s">
        <v>328</v>
      </c>
    </row>
    <row r="155" spans="2:2">
      <c r="B155" s="2" t="s">
        <v>330</v>
      </c>
    </row>
    <row r="156" spans="2:2">
      <c r="B156" s="2" t="s">
        <v>336</v>
      </c>
    </row>
    <row r="157" spans="2:2">
      <c r="B157" s="2" t="s">
        <v>338</v>
      </c>
    </row>
    <row r="158" spans="2:2">
      <c r="B158" s="2" t="s">
        <v>341</v>
      </c>
    </row>
    <row r="159" spans="2:2">
      <c r="B159" s="2" t="s">
        <v>347</v>
      </c>
    </row>
    <row r="160" spans="2:2">
      <c r="B160" s="2" t="s">
        <v>348</v>
      </c>
    </row>
    <row r="161" spans="2:2">
      <c r="B161" s="2" t="s">
        <v>349</v>
      </c>
    </row>
    <row r="162" spans="2:2">
      <c r="B162" s="2" t="s">
        <v>352</v>
      </c>
    </row>
    <row r="163" spans="2:2">
      <c r="B163" s="2" t="s">
        <v>353</v>
      </c>
    </row>
    <row r="164" spans="2:2">
      <c r="B164" s="2" t="s">
        <v>355</v>
      </c>
    </row>
    <row r="165" spans="2:2">
      <c r="B165" s="2" t="s">
        <v>361</v>
      </c>
    </row>
    <row r="166" spans="2:2">
      <c r="B166" s="2" t="s">
        <v>362</v>
      </c>
    </row>
    <row r="167" spans="2:2">
      <c r="B167" s="2" t="s">
        <v>365</v>
      </c>
    </row>
    <row r="168" spans="2:2">
      <c r="B168" s="2" t="s">
        <v>368</v>
      </c>
    </row>
    <row r="169" spans="2:2">
      <c r="B169" s="2" t="s">
        <v>370</v>
      </c>
    </row>
    <row r="170" spans="2:2">
      <c r="B170" s="2" t="s">
        <v>377</v>
      </c>
    </row>
    <row r="171" spans="2:2">
      <c r="B171" s="2" t="s">
        <v>379</v>
      </c>
    </row>
    <row r="172" spans="2:2">
      <c r="B172" s="2" t="s">
        <v>386</v>
      </c>
    </row>
    <row r="173" spans="2:2">
      <c r="B173" s="2" t="s">
        <v>388</v>
      </c>
    </row>
    <row r="174" spans="2:2">
      <c r="B174" s="2" t="s">
        <v>393</v>
      </c>
    </row>
    <row r="175" spans="2:2">
      <c r="B175" s="2" t="s">
        <v>399</v>
      </c>
    </row>
    <row r="176" spans="2:2">
      <c r="B176" s="2" t="s">
        <v>405</v>
      </c>
    </row>
    <row r="177" spans="2:2">
      <c r="B177" s="2" t="s">
        <v>406</v>
      </c>
    </row>
    <row r="178" spans="2:2">
      <c r="B178" s="2" t="s">
        <v>409</v>
      </c>
    </row>
    <row r="179" spans="2:2">
      <c r="B179" s="2" t="s">
        <v>413</v>
      </c>
    </row>
    <row r="180" spans="2:2">
      <c r="B180" s="2" t="s">
        <v>414</v>
      </c>
    </row>
    <row r="181" spans="2:2">
      <c r="B181" s="2" t="s">
        <v>415</v>
      </c>
    </row>
    <row r="182" spans="2:2">
      <c r="B182" s="2" t="s">
        <v>424</v>
      </c>
    </row>
    <row r="183" spans="2:2">
      <c r="B183" s="2" t="s">
        <v>428</v>
      </c>
    </row>
    <row r="184" spans="2:2">
      <c r="B184" s="2" t="s">
        <v>433</v>
      </c>
    </row>
    <row r="185" spans="2:2">
      <c r="B185" s="2" t="s">
        <v>439</v>
      </c>
    </row>
    <row r="186" spans="2:2">
      <c r="B186" s="2" t="s">
        <v>441</v>
      </c>
    </row>
    <row r="187" spans="2:2">
      <c r="B187" s="2" t="s">
        <v>447</v>
      </c>
    </row>
    <row r="188" spans="2:2">
      <c r="B188" s="2" t="s">
        <v>449</v>
      </c>
    </row>
    <row r="189" spans="2:2">
      <c r="B189" s="2" t="s">
        <v>452</v>
      </c>
    </row>
    <row r="190" spans="2:2">
      <c r="B190" s="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2026-07-09T19:49:41Z</dcterms:created>
  <dcterms:modified xsi:type="dcterms:W3CDTF">2026-08-25T19:30:39Z</dcterms:modified>
  <cp:category/>
  <cp:contentStatus/>
</cp:coreProperties>
</file>